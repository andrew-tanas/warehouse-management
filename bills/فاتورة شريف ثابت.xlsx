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شريف ثابت" sheetId="19" r:id="rId1"/>
    <sheet name="31" sheetId="4" r:id="rId2"/>
    <sheet name="30" sheetId="16" r:id="rId3"/>
    <sheet name="29" sheetId="15" r:id="rId4"/>
    <sheet name="28" sheetId="14" r:id="rId5"/>
    <sheet name="27" sheetId="17" r:id="rId6"/>
    <sheet name="25" sheetId="21" r:id="rId7"/>
    <sheet name="19" sheetId="8" r:id="rId8"/>
    <sheet name="18" sheetId="23" r:id="rId9"/>
    <sheet name="16" sheetId="1" r:id="rId10"/>
    <sheet name="15" sheetId="20" r:id="rId11"/>
    <sheet name="14" sheetId="13" r:id="rId12"/>
    <sheet name="12" sheetId="7" r:id="rId13"/>
    <sheet name="11" sheetId="18" r:id="rId14"/>
    <sheet name="10" sheetId="5" r:id="rId15"/>
    <sheet name="8" sheetId="6" r:id="rId16"/>
    <sheet name="7" sheetId="9" r:id="rId17"/>
    <sheet name="5" sheetId="11" r:id="rId18"/>
    <sheet name="4" sheetId="12" r:id="rId19"/>
    <sheet name="2" sheetId="10" r:id="rId20"/>
  </sheets>
  <definedNames>
    <definedName name="_xlnm.Print_Titles" localSheetId="0">'شريف ثابت'!$1:$3</definedName>
  </definedNames>
  <calcPr calcId="144525"/>
</workbook>
</file>

<file path=xl/calcChain.xml><?xml version="1.0" encoding="utf-8"?>
<calcChain xmlns="http://schemas.openxmlformats.org/spreadsheetml/2006/main">
  <c r="D27" i="23" l="1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23" i="23" s="1"/>
  <c r="E34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30" i="21" l="1"/>
  <c r="D25" i="20" l="1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21" i="20" s="1"/>
  <c r="G15" i="18" l="1"/>
  <c r="C67" i="19" l="1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I4" i="19"/>
  <c r="E5" i="19" s="1"/>
  <c r="G5" i="19" s="1"/>
  <c r="I5" i="19" s="1"/>
  <c r="E6" i="19" s="1"/>
  <c r="G6" i="19" s="1"/>
  <c r="I6" i="19" s="1"/>
  <c r="E7" i="19" s="1"/>
  <c r="G7" i="19" s="1"/>
  <c r="I7" i="19" s="1"/>
  <c r="E8" i="19" s="1"/>
  <c r="G8" i="19" s="1"/>
  <c r="I8" i="19" s="1"/>
  <c r="E9" i="19" s="1"/>
  <c r="G9" i="19" s="1"/>
  <c r="I9" i="19" s="1"/>
  <c r="E10" i="19" s="1"/>
  <c r="G10" i="19" s="1"/>
  <c r="I10" i="19" s="1"/>
  <c r="E11" i="19" s="1"/>
  <c r="G11" i="19" s="1"/>
  <c r="I11" i="19" s="1"/>
  <c r="E12" i="19" s="1"/>
  <c r="G12" i="19" s="1"/>
  <c r="I12" i="19" s="1"/>
  <c r="E13" i="19" s="1"/>
  <c r="G13" i="19" s="1"/>
  <c r="I13" i="19" s="1"/>
  <c r="E14" i="19" s="1"/>
  <c r="G14" i="19" s="1"/>
  <c r="I14" i="19" s="1"/>
  <c r="E15" i="19" s="1"/>
  <c r="G15" i="19" s="1"/>
  <c r="I15" i="19" s="1"/>
  <c r="E16" i="19" s="1"/>
  <c r="G16" i="19" s="1"/>
  <c r="I16" i="19" s="1"/>
  <c r="E17" i="19" s="1"/>
  <c r="G17" i="19" s="1"/>
  <c r="I17" i="19" s="1"/>
  <c r="E18" i="19" s="1"/>
  <c r="G18" i="19" s="1"/>
  <c r="I18" i="19" s="1"/>
  <c r="E19" i="19" s="1"/>
  <c r="G19" i="19" s="1"/>
  <c r="I19" i="19" s="1"/>
  <c r="E20" i="19" s="1"/>
  <c r="G20" i="19" s="1"/>
  <c r="I20" i="19" s="1"/>
  <c r="E21" i="19" s="1"/>
  <c r="G21" i="19" s="1"/>
  <c r="I21" i="19" s="1"/>
  <c r="E22" i="19" s="1"/>
  <c r="G22" i="19" s="1"/>
  <c r="I22" i="19" s="1"/>
  <c r="E23" i="19" s="1"/>
  <c r="G23" i="19" s="1"/>
  <c r="I23" i="19" s="1"/>
  <c r="E24" i="19" s="1"/>
  <c r="G24" i="19" s="1"/>
  <c r="I24" i="19" s="1"/>
  <c r="E25" i="19" s="1"/>
  <c r="G25" i="19" s="1"/>
  <c r="I25" i="19" s="1"/>
  <c r="E26" i="19" s="1"/>
  <c r="G26" i="19" s="1"/>
  <c r="I26" i="19" s="1"/>
  <c r="E27" i="19" s="1"/>
  <c r="G27" i="19" s="1"/>
  <c r="I27" i="19" s="1"/>
  <c r="E28" i="19" s="1"/>
  <c r="G28" i="19" s="1"/>
  <c r="I28" i="19" s="1"/>
  <c r="E29" i="19" s="1"/>
  <c r="G29" i="19" s="1"/>
  <c r="I29" i="19" s="1"/>
  <c r="E30" i="19" s="1"/>
  <c r="G30" i="19" s="1"/>
  <c r="I30" i="19" s="1"/>
  <c r="E31" i="19" s="1"/>
  <c r="G31" i="19" s="1"/>
  <c r="I31" i="19" s="1"/>
  <c r="E32" i="19" s="1"/>
  <c r="G32" i="19" s="1"/>
  <c r="I32" i="19" s="1"/>
  <c r="E33" i="19" s="1"/>
  <c r="G33" i="19" s="1"/>
  <c r="I33" i="19" s="1"/>
  <c r="E34" i="19" s="1"/>
  <c r="G34" i="19" s="1"/>
  <c r="I34" i="19" s="1"/>
  <c r="E35" i="19" s="1"/>
  <c r="G35" i="19" s="1"/>
  <c r="I35" i="19" s="1"/>
  <c r="E36" i="19" s="1"/>
  <c r="G36" i="19" s="1"/>
  <c r="I36" i="19" s="1"/>
  <c r="E37" i="19" s="1"/>
  <c r="G37" i="19" s="1"/>
  <c r="I37" i="19" s="1"/>
  <c r="E38" i="19" s="1"/>
  <c r="G38" i="19" s="1"/>
  <c r="I38" i="19" s="1"/>
  <c r="E39" i="19" s="1"/>
  <c r="G39" i="19" s="1"/>
  <c r="I39" i="19" s="1"/>
  <c r="E40" i="19" s="1"/>
  <c r="G40" i="19" s="1"/>
  <c r="I40" i="19" s="1"/>
  <c r="E41" i="19" s="1"/>
  <c r="G41" i="19" s="1"/>
  <c r="I41" i="19" s="1"/>
  <c r="E42" i="19" s="1"/>
  <c r="G42" i="19" s="1"/>
  <c r="I42" i="19" s="1"/>
  <c r="E43" i="19" s="1"/>
  <c r="G43" i="19" s="1"/>
  <c r="I43" i="19" s="1"/>
  <c r="E44" i="19" s="1"/>
  <c r="G44" i="19" s="1"/>
  <c r="I44" i="19" s="1"/>
  <c r="E45" i="19" s="1"/>
  <c r="G45" i="19" s="1"/>
  <c r="I45" i="19" s="1"/>
  <c r="E46" i="19" s="1"/>
  <c r="G46" i="19" s="1"/>
  <c r="I46" i="19" s="1"/>
  <c r="E47" i="19" s="1"/>
  <c r="G47" i="19" s="1"/>
  <c r="I47" i="19" s="1"/>
  <c r="E48" i="19" s="1"/>
  <c r="G48" i="19" s="1"/>
  <c r="I48" i="19" s="1"/>
  <c r="E49" i="19" s="1"/>
  <c r="G49" i="19" s="1"/>
  <c r="I49" i="19" s="1"/>
  <c r="E50" i="19" s="1"/>
  <c r="G50" i="19" s="1"/>
  <c r="I50" i="19" s="1"/>
  <c r="E51" i="19" s="1"/>
  <c r="G51" i="19" s="1"/>
  <c r="I51" i="19" s="1"/>
  <c r="E52" i="19" s="1"/>
  <c r="G52" i="19" s="1"/>
  <c r="I52" i="19" s="1"/>
  <c r="E53" i="19" s="1"/>
  <c r="G53" i="19" s="1"/>
  <c r="I53" i="19" s="1"/>
  <c r="E54" i="19" s="1"/>
  <c r="G54" i="19" s="1"/>
  <c r="I54" i="19" s="1"/>
  <c r="E55" i="19" s="1"/>
  <c r="G55" i="19" s="1"/>
  <c r="I55" i="19" s="1"/>
  <c r="E56" i="19" s="1"/>
  <c r="G56" i="19" s="1"/>
  <c r="I56" i="19" s="1"/>
  <c r="E57" i="19" s="1"/>
  <c r="G57" i="19" s="1"/>
  <c r="I57" i="19" s="1"/>
  <c r="E58" i="19" s="1"/>
  <c r="G58" i="19" s="1"/>
  <c r="I58" i="19" s="1"/>
  <c r="E59" i="19" s="1"/>
  <c r="G59" i="19" s="1"/>
  <c r="I59" i="19" s="1"/>
  <c r="E60" i="19" s="1"/>
  <c r="G60" i="19" s="1"/>
  <c r="I60" i="19" s="1"/>
  <c r="E61" i="19" s="1"/>
  <c r="G61" i="19" s="1"/>
  <c r="I61" i="19" s="1"/>
  <c r="E62" i="19" s="1"/>
  <c r="G62" i="19" s="1"/>
  <c r="I62" i="19" s="1"/>
  <c r="E63" i="19" s="1"/>
  <c r="G63" i="19" s="1"/>
  <c r="I63" i="19" s="1"/>
  <c r="E64" i="19" s="1"/>
  <c r="G64" i="19" s="1"/>
  <c r="I64" i="19" s="1"/>
  <c r="E65" i="19" s="1"/>
  <c r="G65" i="19" s="1"/>
  <c r="I65" i="19" s="1"/>
  <c r="E66" i="19" s="1"/>
  <c r="G66" i="19" s="1"/>
  <c r="I66" i="19" s="1"/>
  <c r="E67" i="19" s="1"/>
  <c r="G67" i="19" s="1"/>
  <c r="I67" i="19" s="1"/>
  <c r="G4" i="19"/>
  <c r="C4" i="19"/>
  <c r="E20" i="18" l="1"/>
  <c r="G14" i="18"/>
  <c r="G13" i="18"/>
  <c r="G12" i="18"/>
  <c r="G11" i="18"/>
  <c r="G10" i="18"/>
  <c r="G9" i="18"/>
  <c r="G8" i="18"/>
  <c r="G7" i="18"/>
  <c r="G16" i="18" s="1"/>
  <c r="G6" i="18"/>
  <c r="G5" i="18"/>
  <c r="E36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32" i="17" s="1"/>
  <c r="E39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35" i="16" s="1"/>
  <c r="E38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34" i="15" s="1"/>
  <c r="E37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33" i="14" s="1"/>
  <c r="D23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19" i="13" l="1"/>
  <c r="E13" i="12"/>
  <c r="G8" i="12"/>
  <c r="G7" i="12"/>
  <c r="G6" i="12"/>
  <c r="G5" i="12"/>
  <c r="G9" i="12" l="1"/>
  <c r="E14" i="11"/>
  <c r="G9" i="11"/>
  <c r="G8" i="11"/>
  <c r="G7" i="11"/>
  <c r="G6" i="11"/>
  <c r="G5" i="11"/>
  <c r="G10" i="11" s="1"/>
  <c r="E11" i="10" l="1"/>
  <c r="G6" i="10"/>
  <c r="G5" i="10"/>
  <c r="G7" i="10" l="1"/>
  <c r="E16" i="9"/>
  <c r="G11" i="9"/>
  <c r="G10" i="9"/>
  <c r="G9" i="9"/>
  <c r="G8" i="9"/>
  <c r="G7" i="9"/>
  <c r="G6" i="9"/>
  <c r="G5" i="9"/>
  <c r="G12" i="9" l="1"/>
  <c r="G20" i="8"/>
  <c r="G21" i="8"/>
  <c r="G22" i="8"/>
  <c r="G23" i="8"/>
  <c r="D28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24" i="8" l="1"/>
  <c r="G16" i="7"/>
  <c r="G15" i="7"/>
  <c r="G14" i="7"/>
  <c r="G13" i="7"/>
  <c r="G12" i="7"/>
  <c r="G11" i="7"/>
  <c r="G10" i="7"/>
  <c r="G9" i="7"/>
  <c r="G8" i="7"/>
  <c r="G7" i="7"/>
  <c r="G6" i="7"/>
  <c r="G5" i="7"/>
  <c r="E21" i="7"/>
  <c r="G17" i="7" l="1"/>
  <c r="G7" i="5"/>
  <c r="G8" i="5"/>
  <c r="G9" i="5"/>
  <c r="G10" i="5"/>
  <c r="G11" i="5"/>
  <c r="G12" i="5"/>
  <c r="G13" i="5"/>
  <c r="G14" i="5"/>
  <c r="E39" i="4"/>
  <c r="G15" i="5" l="1"/>
  <c r="G5" i="4"/>
  <c r="G6" i="4"/>
  <c r="G7" i="4"/>
  <c r="G8" i="4"/>
  <c r="G9" i="4"/>
  <c r="D17" i="6"/>
  <c r="F12" i="6"/>
  <c r="F11" i="6"/>
  <c r="F10" i="6"/>
  <c r="F9" i="6"/>
  <c r="F8" i="6"/>
  <c r="F7" i="6"/>
  <c r="F6" i="6"/>
  <c r="F5" i="6"/>
  <c r="F13" i="6" l="1"/>
  <c r="D25" i="1"/>
  <c r="G11" i="1" l="1"/>
  <c r="G12" i="1"/>
  <c r="G13" i="1"/>
  <c r="G14" i="1"/>
  <c r="G15" i="1"/>
  <c r="G16" i="1"/>
  <c r="G17" i="1"/>
  <c r="G18" i="1"/>
  <c r="G19" i="1"/>
  <c r="G20" i="1"/>
  <c r="G10" i="1"/>
  <c r="E19" i="5" l="1"/>
  <c r="G6" i="5" l="1"/>
  <c r="G5" i="5"/>
  <c r="G34" i="4" l="1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35" i="4" l="1"/>
  <c r="G6" i="1"/>
  <c r="G5" i="1"/>
  <c r="G7" i="1"/>
  <c r="G8" i="1"/>
  <c r="G9" i="1"/>
  <c r="G21" i="1" l="1"/>
</calcChain>
</file>

<file path=xl/sharedStrings.xml><?xml version="1.0" encoding="utf-8"?>
<sst xmlns="http://schemas.openxmlformats.org/spreadsheetml/2006/main" count="1271" uniqueCount="105">
  <si>
    <t>الصـنـــــــف</t>
  </si>
  <si>
    <t>الاجمـــــــــــالي</t>
  </si>
  <si>
    <t>سعـــــــر</t>
  </si>
  <si>
    <t>عـــدد</t>
  </si>
  <si>
    <t>اجمـــــالي</t>
  </si>
  <si>
    <t>م</t>
  </si>
  <si>
    <t xml:space="preserve">  التقــوى مـــع القنـاعــة تجـــارة عظيمــــة</t>
  </si>
  <si>
    <t>مــــــا قبلـــــــه</t>
  </si>
  <si>
    <t>الاجمـــــــالي</t>
  </si>
  <si>
    <t xml:space="preserve">    التقــوى مـــع القنـاعــة تجـــارة عظيمــــة</t>
  </si>
  <si>
    <t>رصيد سابق</t>
  </si>
  <si>
    <t>اجمالي</t>
  </si>
  <si>
    <t>فاتورة 8/4/2026</t>
  </si>
  <si>
    <t xml:space="preserve">        التاريخ :   8   /      4  /     2026</t>
  </si>
  <si>
    <t>المقاس</t>
  </si>
  <si>
    <t>أسبور رجالي أبيض</t>
  </si>
  <si>
    <t xml:space="preserve">أسبور رجالي ألوان </t>
  </si>
  <si>
    <t>شورت رجالي أبيض</t>
  </si>
  <si>
    <t>شورت رجالي ألوان</t>
  </si>
  <si>
    <t xml:space="preserve">1/2كم رجالي أبيض </t>
  </si>
  <si>
    <t xml:space="preserve">1/2كم رجالي ألوان </t>
  </si>
  <si>
    <t>سليب رجالي أبيض</t>
  </si>
  <si>
    <t>طقم رجالي ألوان</t>
  </si>
  <si>
    <t>أسبور أولادي أبيض</t>
  </si>
  <si>
    <t>أسبورأولادي ألوان</t>
  </si>
  <si>
    <t>شورت أولادي أبيض</t>
  </si>
  <si>
    <t xml:space="preserve">1/2كم أولادي أبيض </t>
  </si>
  <si>
    <t xml:space="preserve">1/2كم أولادي ألوان </t>
  </si>
  <si>
    <t>شورت أولادي ألوان</t>
  </si>
  <si>
    <t>سليب أولادي أبيض</t>
  </si>
  <si>
    <t>أندر حريمي أستك</t>
  </si>
  <si>
    <t>أندر حريمي بدون أستك</t>
  </si>
  <si>
    <t>شورت حريمي أستك</t>
  </si>
  <si>
    <t>شورت حريمي بدون أستك</t>
  </si>
  <si>
    <t xml:space="preserve">كومبليزون قصير </t>
  </si>
  <si>
    <t>كومبليزون طويل</t>
  </si>
  <si>
    <t>بيبي دول حريمي</t>
  </si>
  <si>
    <t>توب حمالة</t>
  </si>
  <si>
    <t>توب دانتيلا</t>
  </si>
  <si>
    <t>أندر بناتي</t>
  </si>
  <si>
    <t>شورت بناتي</t>
  </si>
  <si>
    <t>كومبين بناتي</t>
  </si>
  <si>
    <t xml:space="preserve">         السيــــد : أ / شـــــــريف ثــــــابت      أبـــو قــرقــاص</t>
  </si>
  <si>
    <t xml:space="preserve">        التـــاريخ :   24  / 3  /  2026</t>
  </si>
  <si>
    <t>مـــا قبلـــــه</t>
  </si>
  <si>
    <t>فاتورة /  / 2026</t>
  </si>
  <si>
    <t xml:space="preserve">         السيد : أ / شريف ثابت     أبــو قـرقـــاص</t>
  </si>
  <si>
    <t xml:space="preserve">        التاريخ :   8  / 4  /  2026</t>
  </si>
  <si>
    <t xml:space="preserve">      السيــــد :   أ/ شـــريف ثـــابت     أبـــو قـرقـــاص          </t>
  </si>
  <si>
    <t xml:space="preserve">فاتورة </t>
  </si>
  <si>
    <t xml:space="preserve">      التـــاريخ :   15  /  4 /  2026</t>
  </si>
  <si>
    <t>zero</t>
  </si>
  <si>
    <t>4XL</t>
  </si>
  <si>
    <t>5XL</t>
  </si>
  <si>
    <t>L</t>
  </si>
  <si>
    <t>XL</t>
  </si>
  <si>
    <t>2XL</t>
  </si>
  <si>
    <t>3XL</t>
  </si>
  <si>
    <t>فاتورة 15/4/2026</t>
  </si>
  <si>
    <t>M</t>
  </si>
  <si>
    <t>ZERO</t>
  </si>
  <si>
    <t>6XL</t>
  </si>
  <si>
    <t>مميز</t>
  </si>
  <si>
    <t xml:space="preserve">      التـــاريخ :   5  /  5 /  2026</t>
  </si>
  <si>
    <t xml:space="preserve">        التاريخ :   12/ 5 / 2026</t>
  </si>
  <si>
    <t>فاتورة 12/05/2026</t>
  </si>
  <si>
    <t>فاتورة  12/ 5 / 2026</t>
  </si>
  <si>
    <t>الإجمـــــــالي</t>
  </si>
  <si>
    <t xml:space="preserve">      السيــــد :   أ/ أيمن لبيب     بني عدي         </t>
  </si>
  <si>
    <t>فاتورة 02/06/2026</t>
  </si>
  <si>
    <t xml:space="preserve">        التاريخ :   02/06/2026</t>
  </si>
  <si>
    <t xml:space="preserve">         السيــــد : أ/ سمعـــــان موريـــس               أســـوان</t>
  </si>
  <si>
    <t xml:space="preserve">     التقــوى مـــع القنـاعــة تجـــارة عظيمــــة</t>
  </si>
  <si>
    <t xml:space="preserve">        التـــــاريخ :   21  / 5  /  2026</t>
  </si>
  <si>
    <t xml:space="preserve">         السيــــد : أ/ سمعـــــان موريـــس               أســـوان  (2)</t>
  </si>
  <si>
    <t>سعــــــر</t>
  </si>
  <si>
    <t>إجمـــــالي</t>
  </si>
  <si>
    <t>فــــــاتــورة رقــــم (1)</t>
  </si>
  <si>
    <t>فــــــاتــورة رقــــم (2)</t>
  </si>
  <si>
    <t xml:space="preserve">      التقــوى مـــع القنـاعــة تجـــارة عظيمــــة</t>
  </si>
  <si>
    <t xml:space="preserve">        التـــــاريخ :   6  / 5  /  2026</t>
  </si>
  <si>
    <t>فاتورة 06/05/2026</t>
  </si>
  <si>
    <t>أنــــدر بنــــاتي</t>
  </si>
  <si>
    <t>شـورت بنـاتي</t>
  </si>
  <si>
    <t xml:space="preserve">        التـــــاريخ :   24  / 3  /  2026</t>
  </si>
  <si>
    <t xml:space="preserve">         السيــــد : أ/ شريف ثابت              أبو قرقاص</t>
  </si>
  <si>
    <t xml:space="preserve">      التـــاريخ :    02/06/2026</t>
  </si>
  <si>
    <t xml:space="preserve">        التاريخ :  09/06/2026</t>
  </si>
  <si>
    <t>فاتورة 09/06/2026</t>
  </si>
  <si>
    <t>ح / أ شريف ثابت</t>
  </si>
  <si>
    <t>الرصيــــــد الختامي</t>
  </si>
  <si>
    <t>ابتداء من 2026/3/31</t>
  </si>
  <si>
    <t>حتي 09/06/2026</t>
  </si>
  <si>
    <t>اليوم</t>
  </si>
  <si>
    <t>التاريخ</t>
  </si>
  <si>
    <t>الرصيد</t>
  </si>
  <si>
    <t>فواتير</t>
  </si>
  <si>
    <t>مدفوعات</t>
  </si>
  <si>
    <t>الباقي</t>
  </si>
  <si>
    <t>البيان</t>
  </si>
  <si>
    <t>سداد نقدي بيد أ/منصور</t>
  </si>
  <si>
    <t xml:space="preserve">فاتــــــورة </t>
  </si>
  <si>
    <t xml:space="preserve">         السيــــد : أ/ شريف ثابت              أســـوان</t>
  </si>
  <si>
    <t xml:space="preserve">        التاريخ :  23/06/2026</t>
  </si>
  <si>
    <t>فاتورة 23/06/2026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</si>
</sst>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1"/>
      <name val="Arial Unicode MS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Arial Unicode MS"/>
      <family val="2"/>
    </font>
    <font>
      <b/>
      <sz val="18"/>
      <color theme="1"/>
      <name val="Arial Unicode MS"/>
      <family val="2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Border="1"/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0" xfId="0" applyBorder="1" applyAlignment="1"/>
    <xf numFmtId="0" fontId="0" fillId="0" borderId="11" xfId="0" applyBorder="1" applyAlignme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4" xfId="0" applyBorder="1" applyAlignment="1"/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6" xfId="0" applyBorder="1"/>
    <xf numFmtId="0" fontId="5" fillId="0" borderId="1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/>
    <xf numFmtId="0" fontId="8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0" xfId="0" applyFont="1" applyBorder="1" applyAlignment="1"/>
    <xf numFmtId="0" fontId="5" fillId="0" borderId="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0" xfId="0" applyFont="1"/>
    <xf numFmtId="0" fontId="5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0" fillId="0" borderId="22" xfId="0" applyBorder="1"/>
    <xf numFmtId="0" fontId="5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23" xfId="0" applyFont="1" applyBorder="1" applyAlignment="1"/>
    <xf numFmtId="0" fontId="3" fillId="0" borderId="10" xfId="0" applyFont="1" applyBorder="1" applyAlignment="1"/>
    <xf numFmtId="0" fontId="2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0" borderId="26" xfId="0" applyFont="1" applyBorder="1" applyAlignment="1"/>
    <xf numFmtId="0" fontId="3" fillId="0" borderId="25" xfId="0" applyFont="1" applyBorder="1" applyAlignment="1"/>
    <xf numFmtId="0" fontId="2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/>
    <xf numFmtId="0" fontId="1" fillId="0" borderId="19" xfId="0" applyFont="1" applyBorder="1" applyAlignment="1">
      <alignment horizontal="center"/>
    </xf>
    <xf numFmtId="0" fontId="0" fillId="0" borderId="11" xfId="0" applyBorder="1"/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4" fontId="12" fillId="0" borderId="21" xfId="0" applyNumberFormat="1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4" fontId="3" fillId="0" borderId="20" xfId="0" applyNumberFormat="1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14" fontId="12" fillId="0" borderId="20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0" applyFont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/>
    <xf numFmtId="0" fontId="6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/>
    <xf numFmtId="0" fontId="3" fillId="0" borderId="0" xfId="0" applyFont="1" applyAlignment="1"/>
    <xf numFmtId="0" fontId="3" fillId="0" borderId="1" xfId="0" applyFont="1" applyBorder="1" applyAlignment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68"/>
  <sheetViews>
    <sheetView rightToLeft="1" tabSelected="1" topLeftCell="A10" workbookViewId="0">
      <selection activeCell="F28" sqref="F28"/>
    </sheetView>
  </sheetViews>
  <sheetFormatPr defaultRowHeight="21.75" customHeight="1" x14ac:dyDescent="0.25"/>
  <cols>
    <col min="1" max="1" width="1.7109375" customWidth="1"/>
    <col min="2" max="2" width="5" customWidth="1"/>
    <col min="4" max="4" width="19.140625" customWidth="1"/>
    <col min="5" max="5" width="13" customWidth="1"/>
    <col min="6" max="6" width="12.42578125" customWidth="1"/>
    <col min="7" max="7" width="13.7109375" customWidth="1"/>
    <col min="8" max="8" width="12.5703125" customWidth="1"/>
    <col min="9" max="9" width="12.28515625" customWidth="1"/>
    <col min="10" max="10" width="30.85546875" customWidth="1"/>
  </cols>
  <sheetData>
    <row r="1" spans="1:10" ht="33" customHeight="1" thickTop="1" thickBot="1" x14ac:dyDescent="0.55000000000000004">
      <c r="B1" s="131" t="s">
        <v>89</v>
      </c>
      <c r="C1" s="131"/>
      <c r="D1" s="131"/>
      <c r="E1" s="132"/>
      <c r="F1" s="133" t="s">
        <v>90</v>
      </c>
      <c r="G1" s="134"/>
      <c r="H1" s="135">
        <v>114201</v>
      </c>
      <c r="I1" s="136"/>
      <c r="J1" s="96"/>
    </row>
    <row r="2" spans="1:10" ht="33" customHeight="1" thickTop="1" thickBot="1" x14ac:dyDescent="0.55000000000000004">
      <c r="B2" s="137" t="s">
        <v>91</v>
      </c>
      <c r="C2" s="137"/>
      <c r="D2" s="137"/>
      <c r="E2" s="137"/>
      <c r="F2" s="138" t="s">
        <v>92</v>
      </c>
      <c r="G2" s="138"/>
      <c r="H2" s="138"/>
      <c r="I2" s="138"/>
      <c r="J2" s="97"/>
    </row>
    <row r="3" spans="1:10" ht="36.75" customHeight="1" thickTop="1" thickBot="1" x14ac:dyDescent="0.55000000000000004">
      <c r="A3" s="99"/>
      <c r="B3" s="100" t="s">
        <v>5</v>
      </c>
      <c r="C3" s="100" t="s">
        <v>93</v>
      </c>
      <c r="D3" s="101" t="s">
        <v>94</v>
      </c>
      <c r="E3" s="100" t="s">
        <v>95</v>
      </c>
      <c r="F3" s="101" t="s">
        <v>96</v>
      </c>
      <c r="G3" s="100" t="s">
        <v>11</v>
      </c>
      <c r="H3" s="101" t="s">
        <v>97</v>
      </c>
      <c r="I3" s="100" t="s">
        <v>98</v>
      </c>
      <c r="J3" s="102" t="s">
        <v>99</v>
      </c>
    </row>
    <row r="4" spans="1:10" ht="21.75" customHeight="1" thickTop="1" x14ac:dyDescent="0.35">
      <c r="A4" s="99"/>
      <c r="B4" s="103">
        <v>1</v>
      </c>
      <c r="C4" s="63" t="str">
        <f>TEXT(D4, "DDD")</f>
        <v>الثلاثاء</v>
      </c>
      <c r="D4" s="104">
        <v>46112</v>
      </c>
      <c r="E4" s="105">
        <v>49278</v>
      </c>
      <c r="F4" s="106">
        <v>0</v>
      </c>
      <c r="G4" s="107">
        <f>F4+E4</f>
        <v>49278</v>
      </c>
      <c r="H4" s="108">
        <v>15000</v>
      </c>
      <c r="I4" s="109">
        <f>G4-H4</f>
        <v>34278</v>
      </c>
      <c r="J4" s="110" t="s">
        <v>100</v>
      </c>
    </row>
    <row r="5" spans="1:10" ht="21.75" customHeight="1" x14ac:dyDescent="0.35">
      <c r="A5" s="99"/>
      <c r="B5" s="111">
        <v>2</v>
      </c>
      <c r="C5" s="5" t="str">
        <f t="shared" ref="C5:C67" si="0">TEXT(D5, "DDD")</f>
        <v>الثلاثاء</v>
      </c>
      <c r="D5" s="112">
        <v>46119</v>
      </c>
      <c r="E5" s="113">
        <f>I4</f>
        <v>34278</v>
      </c>
      <c r="F5" s="114">
        <v>30430</v>
      </c>
      <c r="G5" s="115">
        <f t="shared" ref="G5:G67" si="1">F5+E5</f>
        <v>64708</v>
      </c>
      <c r="H5" s="116">
        <v>0</v>
      </c>
      <c r="I5" s="117">
        <f t="shared" ref="I5:I67" si="2">G5-H5</f>
        <v>64708</v>
      </c>
      <c r="J5" s="4" t="s">
        <v>101</v>
      </c>
    </row>
    <row r="6" spans="1:10" ht="21.75" customHeight="1" x14ac:dyDescent="0.35">
      <c r="A6" s="99"/>
      <c r="B6" s="111">
        <v>3</v>
      </c>
      <c r="C6" s="5" t="str">
        <f t="shared" si="0"/>
        <v>الثلاثاء</v>
      </c>
      <c r="D6" s="118">
        <v>46119</v>
      </c>
      <c r="E6" s="113">
        <f t="shared" ref="E6:E67" si="3">I5</f>
        <v>64708</v>
      </c>
      <c r="F6" s="114">
        <v>0</v>
      </c>
      <c r="G6" s="115">
        <f t="shared" si="1"/>
        <v>64708</v>
      </c>
      <c r="H6" s="116">
        <v>15000</v>
      </c>
      <c r="I6" s="117">
        <f t="shared" si="2"/>
        <v>49708</v>
      </c>
      <c r="J6" s="119" t="s">
        <v>100</v>
      </c>
    </row>
    <row r="7" spans="1:10" ht="21.75" customHeight="1" x14ac:dyDescent="0.35">
      <c r="A7" s="99"/>
      <c r="B7" s="111">
        <v>4</v>
      </c>
      <c r="C7" s="5" t="str">
        <f t="shared" si="0"/>
        <v>الأربعاء</v>
      </c>
      <c r="D7" s="112">
        <v>46127</v>
      </c>
      <c r="E7" s="113">
        <f t="shared" si="3"/>
        <v>49708</v>
      </c>
      <c r="F7" s="114">
        <v>41079</v>
      </c>
      <c r="G7" s="115">
        <f t="shared" si="1"/>
        <v>90787</v>
      </c>
      <c r="H7" s="116">
        <v>0</v>
      </c>
      <c r="I7" s="117">
        <f t="shared" si="2"/>
        <v>90787</v>
      </c>
      <c r="J7" s="4" t="s">
        <v>101</v>
      </c>
    </row>
    <row r="8" spans="1:10" ht="21.75" customHeight="1" x14ac:dyDescent="0.35">
      <c r="A8" s="99"/>
      <c r="B8" s="111">
        <v>5</v>
      </c>
      <c r="C8" s="5" t="str">
        <f t="shared" si="0"/>
        <v>الأربعاء</v>
      </c>
      <c r="D8" s="118">
        <v>46127</v>
      </c>
      <c r="E8" s="113">
        <f t="shared" si="3"/>
        <v>90787</v>
      </c>
      <c r="F8" s="114">
        <v>0</v>
      </c>
      <c r="G8" s="115">
        <f t="shared" si="1"/>
        <v>90787</v>
      </c>
      <c r="H8" s="116">
        <v>15000</v>
      </c>
      <c r="I8" s="117">
        <f t="shared" si="2"/>
        <v>75787</v>
      </c>
      <c r="J8" s="119" t="s">
        <v>100</v>
      </c>
    </row>
    <row r="9" spans="1:10" ht="21.75" customHeight="1" x14ac:dyDescent="0.35">
      <c r="A9" s="99"/>
      <c r="B9" s="111">
        <v>6</v>
      </c>
      <c r="C9" s="5" t="str">
        <f t="shared" si="0"/>
        <v>الأربعاء</v>
      </c>
      <c r="D9" s="118">
        <v>46134</v>
      </c>
      <c r="E9" s="113">
        <f t="shared" si="3"/>
        <v>75787</v>
      </c>
      <c r="F9" s="114">
        <v>0</v>
      </c>
      <c r="G9" s="115">
        <f t="shared" si="1"/>
        <v>75787</v>
      </c>
      <c r="H9" s="116">
        <v>15000</v>
      </c>
      <c r="I9" s="117">
        <f t="shared" si="2"/>
        <v>60787</v>
      </c>
      <c r="J9" s="119" t="s">
        <v>100</v>
      </c>
    </row>
    <row r="10" spans="1:10" ht="21.75" customHeight="1" x14ac:dyDescent="0.35">
      <c r="A10" s="99"/>
      <c r="B10" s="111">
        <v>7</v>
      </c>
      <c r="C10" s="5" t="str">
        <f t="shared" si="0"/>
        <v>الثلاثاء</v>
      </c>
      <c r="D10" s="118">
        <v>46140</v>
      </c>
      <c r="E10" s="113">
        <f t="shared" si="3"/>
        <v>60787</v>
      </c>
      <c r="F10" s="114">
        <v>0</v>
      </c>
      <c r="G10" s="115">
        <f t="shared" si="1"/>
        <v>60787</v>
      </c>
      <c r="H10" s="116">
        <v>15000</v>
      </c>
      <c r="I10" s="117">
        <f t="shared" si="2"/>
        <v>45787</v>
      </c>
      <c r="J10" s="119" t="s">
        <v>100</v>
      </c>
    </row>
    <row r="11" spans="1:10" ht="21.75" customHeight="1" x14ac:dyDescent="0.35">
      <c r="A11" s="99"/>
      <c r="B11" s="111">
        <v>8</v>
      </c>
      <c r="C11" s="5" t="str">
        <f t="shared" si="0"/>
        <v>الثلاثاء</v>
      </c>
      <c r="D11" s="112">
        <v>46147</v>
      </c>
      <c r="E11" s="113">
        <f t="shared" si="3"/>
        <v>45787</v>
      </c>
      <c r="F11" s="114">
        <v>43378</v>
      </c>
      <c r="G11" s="115">
        <f t="shared" si="1"/>
        <v>89165</v>
      </c>
      <c r="H11" s="116">
        <v>0</v>
      </c>
      <c r="I11" s="117">
        <f t="shared" si="2"/>
        <v>89165</v>
      </c>
      <c r="J11" s="4" t="s">
        <v>101</v>
      </c>
    </row>
    <row r="12" spans="1:10" ht="21.75" customHeight="1" x14ac:dyDescent="0.35">
      <c r="A12" s="99"/>
      <c r="B12" s="111">
        <v>9</v>
      </c>
      <c r="C12" s="5" t="str">
        <f t="shared" si="0"/>
        <v>الأربعاء</v>
      </c>
      <c r="D12" s="118">
        <v>46148</v>
      </c>
      <c r="E12" s="113">
        <f t="shared" si="3"/>
        <v>89165</v>
      </c>
      <c r="F12" s="114">
        <v>0</v>
      </c>
      <c r="G12" s="115">
        <f t="shared" si="1"/>
        <v>89165</v>
      </c>
      <c r="H12" s="116">
        <v>15000</v>
      </c>
      <c r="I12" s="117">
        <f t="shared" si="2"/>
        <v>74165</v>
      </c>
      <c r="J12" s="119" t="s">
        <v>100</v>
      </c>
    </row>
    <row r="13" spans="1:10" ht="21.75" customHeight="1" x14ac:dyDescent="0.35">
      <c r="A13" s="99"/>
      <c r="B13" s="111">
        <v>10</v>
      </c>
      <c r="C13" s="5" t="str">
        <f t="shared" si="0"/>
        <v>الثلاثاء</v>
      </c>
      <c r="D13" s="112">
        <v>46154</v>
      </c>
      <c r="E13" s="113">
        <f t="shared" si="3"/>
        <v>74165</v>
      </c>
      <c r="F13" s="114">
        <v>18510</v>
      </c>
      <c r="G13" s="115">
        <f t="shared" si="1"/>
        <v>92675</v>
      </c>
      <c r="H13" s="116">
        <v>0</v>
      </c>
      <c r="I13" s="117">
        <f t="shared" si="2"/>
        <v>92675</v>
      </c>
      <c r="J13" s="4" t="s">
        <v>101</v>
      </c>
    </row>
    <row r="14" spans="1:10" ht="21.75" customHeight="1" x14ac:dyDescent="0.35">
      <c r="A14" s="99"/>
      <c r="B14" s="111">
        <v>11</v>
      </c>
      <c r="C14" s="5" t="str">
        <f t="shared" si="0"/>
        <v>الثلاثاء</v>
      </c>
      <c r="D14" s="112">
        <v>46154</v>
      </c>
      <c r="E14" s="113">
        <f t="shared" si="3"/>
        <v>92675</v>
      </c>
      <c r="F14" s="114">
        <v>0</v>
      </c>
      <c r="G14" s="115">
        <f t="shared" si="1"/>
        <v>92675</v>
      </c>
      <c r="H14" s="116">
        <v>15000</v>
      </c>
      <c r="I14" s="117">
        <f t="shared" si="2"/>
        <v>77675</v>
      </c>
      <c r="J14" s="119" t="s">
        <v>100</v>
      </c>
    </row>
    <row r="15" spans="1:10" ht="21.75" customHeight="1" x14ac:dyDescent="0.35">
      <c r="A15" s="99"/>
      <c r="B15" s="111">
        <v>12</v>
      </c>
      <c r="C15" s="5" t="str">
        <f t="shared" si="0"/>
        <v>الثلاثاء</v>
      </c>
      <c r="D15" s="112">
        <v>46161</v>
      </c>
      <c r="E15" s="113">
        <f t="shared" si="3"/>
        <v>77675</v>
      </c>
      <c r="F15" s="114">
        <v>7280</v>
      </c>
      <c r="G15" s="115">
        <f t="shared" si="1"/>
        <v>84955</v>
      </c>
      <c r="H15" s="116">
        <v>0</v>
      </c>
      <c r="I15" s="117">
        <f t="shared" si="2"/>
        <v>84955</v>
      </c>
      <c r="J15" s="4" t="s">
        <v>101</v>
      </c>
    </row>
    <row r="16" spans="1:10" ht="21.75" customHeight="1" x14ac:dyDescent="0.35">
      <c r="A16" s="99"/>
      <c r="B16" s="111">
        <v>13</v>
      </c>
      <c r="C16" s="5" t="str">
        <f t="shared" si="0"/>
        <v>الثلاثاء</v>
      </c>
      <c r="D16" s="112">
        <v>46161</v>
      </c>
      <c r="E16" s="113">
        <f t="shared" si="3"/>
        <v>84955</v>
      </c>
      <c r="F16" s="114">
        <v>0</v>
      </c>
      <c r="G16" s="115">
        <f t="shared" si="1"/>
        <v>84955</v>
      </c>
      <c r="H16" s="116">
        <v>15000</v>
      </c>
      <c r="I16" s="117">
        <f t="shared" si="2"/>
        <v>69955</v>
      </c>
      <c r="J16" s="119" t="s">
        <v>100</v>
      </c>
    </row>
    <row r="17" spans="1:10" ht="21.75" customHeight="1" x14ac:dyDescent="0.35">
      <c r="A17" s="99"/>
      <c r="B17" s="111">
        <v>14</v>
      </c>
      <c r="C17" s="5" t="str">
        <f t="shared" si="0"/>
        <v>الإثنين</v>
      </c>
      <c r="D17" s="112">
        <v>46167</v>
      </c>
      <c r="E17" s="113">
        <f t="shared" si="3"/>
        <v>69955</v>
      </c>
      <c r="F17" s="114">
        <v>26200</v>
      </c>
      <c r="G17" s="115">
        <f t="shared" si="1"/>
        <v>96155</v>
      </c>
      <c r="H17" s="116">
        <v>0</v>
      </c>
      <c r="I17" s="117">
        <f t="shared" si="2"/>
        <v>96155</v>
      </c>
      <c r="J17" s="4" t="s">
        <v>101</v>
      </c>
    </row>
    <row r="18" spans="1:10" ht="21.75" customHeight="1" x14ac:dyDescent="0.35">
      <c r="A18" s="99"/>
      <c r="B18" s="111">
        <v>15</v>
      </c>
      <c r="C18" s="5" t="str">
        <f t="shared" si="0"/>
        <v>الإثنين</v>
      </c>
      <c r="D18" s="112">
        <v>46167</v>
      </c>
      <c r="E18" s="113">
        <f t="shared" si="3"/>
        <v>96155</v>
      </c>
      <c r="F18" s="114">
        <v>0</v>
      </c>
      <c r="G18" s="115">
        <f t="shared" si="1"/>
        <v>96155</v>
      </c>
      <c r="H18" s="116">
        <v>15000</v>
      </c>
      <c r="I18" s="117">
        <f t="shared" si="2"/>
        <v>81155</v>
      </c>
      <c r="J18" s="119" t="s">
        <v>100</v>
      </c>
    </row>
    <row r="19" spans="1:10" ht="21.75" customHeight="1" x14ac:dyDescent="0.35">
      <c r="A19" s="99"/>
      <c r="B19" s="111">
        <v>16</v>
      </c>
      <c r="C19" s="5" t="str">
        <f t="shared" si="0"/>
        <v>الثلاثاء</v>
      </c>
      <c r="D19" s="112">
        <v>46175</v>
      </c>
      <c r="E19" s="113">
        <f t="shared" si="3"/>
        <v>81155</v>
      </c>
      <c r="F19" s="114">
        <v>42680</v>
      </c>
      <c r="G19" s="115">
        <f t="shared" si="1"/>
        <v>123835</v>
      </c>
      <c r="H19" s="116">
        <v>0</v>
      </c>
      <c r="I19" s="117">
        <f t="shared" si="2"/>
        <v>123835</v>
      </c>
      <c r="J19" s="4" t="s">
        <v>101</v>
      </c>
    </row>
    <row r="20" spans="1:10" ht="21.75" customHeight="1" x14ac:dyDescent="0.35">
      <c r="A20" s="99"/>
      <c r="B20" s="111">
        <v>17</v>
      </c>
      <c r="C20" s="5" t="str">
        <f t="shared" si="0"/>
        <v>الثلاثاء</v>
      </c>
      <c r="D20" s="112">
        <v>46175</v>
      </c>
      <c r="E20" s="113">
        <f t="shared" si="3"/>
        <v>123835</v>
      </c>
      <c r="F20" s="114">
        <v>0</v>
      </c>
      <c r="G20" s="115">
        <f t="shared" si="1"/>
        <v>123835</v>
      </c>
      <c r="H20" s="116">
        <v>20000</v>
      </c>
      <c r="I20" s="117">
        <f t="shared" si="2"/>
        <v>103835</v>
      </c>
      <c r="J20" s="119" t="s">
        <v>100</v>
      </c>
    </row>
    <row r="21" spans="1:10" ht="21.75" customHeight="1" x14ac:dyDescent="0.35">
      <c r="A21" s="99"/>
      <c r="B21" s="111">
        <v>18</v>
      </c>
      <c r="C21" s="5" t="str">
        <f t="shared" si="0"/>
        <v>الثلاثاء</v>
      </c>
      <c r="D21" s="112">
        <v>46182</v>
      </c>
      <c r="E21" s="113">
        <f t="shared" si="3"/>
        <v>103835</v>
      </c>
      <c r="F21" s="114">
        <v>10366</v>
      </c>
      <c r="G21" s="115">
        <f t="shared" si="1"/>
        <v>114201</v>
      </c>
      <c r="H21" s="116">
        <v>0</v>
      </c>
      <c r="I21" s="117">
        <f t="shared" si="2"/>
        <v>114201</v>
      </c>
      <c r="J21" s="4" t="s">
        <v>101</v>
      </c>
    </row>
    <row r="22" spans="1:10" ht="21.75" customHeight="1" x14ac:dyDescent="0.35">
      <c r="A22" s="99"/>
      <c r="B22" s="111">
        <v>19</v>
      </c>
      <c r="C22" s="5" t="str">
        <f t="shared" si="0"/>
        <v>الثلاثاء</v>
      </c>
      <c r="D22" s="112">
        <v>46182</v>
      </c>
      <c r="E22" s="113">
        <f t="shared" si="3"/>
        <v>114201</v>
      </c>
      <c r="F22" s="114">
        <v>0</v>
      </c>
      <c r="G22" s="115">
        <f t="shared" si="1"/>
        <v>114201</v>
      </c>
      <c r="H22" s="116">
        <v>15000</v>
      </c>
      <c r="I22" s="117">
        <f t="shared" si="2"/>
        <v>99201</v>
      </c>
      <c r="J22" s="119" t="s">
        <v>100</v>
      </c>
    </row>
    <row r="23" spans="1:10" ht="21.75" customHeight="1" x14ac:dyDescent="0.35">
      <c r="A23" s="99"/>
      <c r="B23" s="111">
        <v>20</v>
      </c>
      <c r="C23" s="5" t="str">
        <f t="shared" si="0"/>
        <v>الثلاثاء</v>
      </c>
      <c r="D23" s="112">
        <v>46189</v>
      </c>
      <c r="E23" s="113">
        <f t="shared" si="3"/>
        <v>99201</v>
      </c>
      <c r="F23" s="114">
        <v>5760</v>
      </c>
      <c r="G23" s="115">
        <f t="shared" si="1"/>
        <v>104961</v>
      </c>
      <c r="H23" s="116">
        <v>0</v>
      </c>
      <c r="I23" s="117">
        <f t="shared" si="2"/>
        <v>104961</v>
      </c>
      <c r="J23" s="4" t="s">
        <v>101</v>
      </c>
    </row>
    <row r="24" spans="1:10" ht="21.75" customHeight="1" x14ac:dyDescent="0.35">
      <c r="A24" s="99"/>
      <c r="B24" s="111">
        <v>21</v>
      </c>
      <c r="C24" s="5" t="str">
        <f t="shared" si="0"/>
        <v>الثلاثاء</v>
      </c>
      <c r="D24" s="112">
        <v>46189</v>
      </c>
      <c r="E24" s="113">
        <f t="shared" si="3"/>
        <v>104961</v>
      </c>
      <c r="F24" s="114">
        <v>0</v>
      </c>
      <c r="G24" s="115">
        <f t="shared" si="1"/>
        <v>104961</v>
      </c>
      <c r="H24" s="116">
        <v>15000</v>
      </c>
      <c r="I24" s="117">
        <f t="shared" si="2"/>
        <v>89961</v>
      </c>
      <c r="J24" s="119" t="s">
        <v>100</v>
      </c>
    </row>
    <row r="25" spans="1:10" ht="21.75" customHeight="1" x14ac:dyDescent="0.35">
      <c r="A25" s="99"/>
      <c r="B25" s="111">
        <v>22</v>
      </c>
      <c r="C25" s="5" t="str">
        <f t="shared" si="0"/>
        <v>الثلاثاء</v>
      </c>
      <c r="D25" s="112">
        <v>46196</v>
      </c>
      <c r="E25" s="113">
        <f t="shared" si="3"/>
        <v>89961</v>
      </c>
      <c r="F25" s="114">
        <v>4430</v>
      </c>
      <c r="G25" s="115">
        <f t="shared" si="1"/>
        <v>94391</v>
      </c>
      <c r="H25" s="116">
        <v>0</v>
      </c>
      <c r="I25" s="117">
        <f t="shared" si="2"/>
        <v>94391</v>
      </c>
      <c r="J25" s="4" t="s">
        <v>101</v>
      </c>
    </row>
    <row r="26" spans="1:10" ht="21.75" customHeight="1" x14ac:dyDescent="0.35">
      <c r="A26" s="99"/>
      <c r="B26" s="111">
        <v>23</v>
      </c>
      <c r="C26" s="5" t="str">
        <f t="shared" si="0"/>
        <v>الثلاثاء</v>
      </c>
      <c r="D26" s="112">
        <v>46196</v>
      </c>
      <c r="E26" s="113">
        <f t="shared" si="3"/>
        <v>94391</v>
      </c>
      <c r="F26" s="114">
        <v>0</v>
      </c>
      <c r="G26" s="115">
        <f t="shared" si="1"/>
        <v>94391</v>
      </c>
      <c r="H26" s="116">
        <v>15000</v>
      </c>
      <c r="I26" s="117">
        <f t="shared" si="2"/>
        <v>79391</v>
      </c>
      <c r="J26" s="119" t="s">
        <v>100</v>
      </c>
    </row>
    <row r="27" spans="1:10" ht="21.75" customHeight="1" x14ac:dyDescent="0.35">
      <c r="A27" s="99"/>
      <c r="B27" s="111">
        <v>24</v>
      </c>
      <c r="C27" s="5" t="str">
        <f t="shared" si="0"/>
        <v>السبت</v>
      </c>
      <c r="D27" s="114"/>
      <c r="E27" s="113">
        <f t="shared" si="3"/>
        <v>79391</v>
      </c>
      <c r="F27" s="114"/>
      <c r="G27" s="115">
        <f t="shared" si="1"/>
        <v>79391</v>
      </c>
      <c r="H27" s="116"/>
      <c r="I27" s="117">
        <f t="shared" si="2"/>
        <v>79391</v>
      </c>
      <c r="J27" s="4"/>
    </row>
    <row r="28" spans="1:10" ht="21.75" customHeight="1" x14ac:dyDescent="0.35">
      <c r="A28" s="99"/>
      <c r="B28" s="111">
        <v>25</v>
      </c>
      <c r="C28" s="5" t="str">
        <f t="shared" si="0"/>
        <v>السبت</v>
      </c>
      <c r="D28" s="114"/>
      <c r="E28" s="113">
        <f t="shared" si="3"/>
        <v>79391</v>
      </c>
      <c r="F28" s="114"/>
      <c r="G28" s="115">
        <f t="shared" si="1"/>
        <v>79391</v>
      </c>
      <c r="H28" s="116"/>
      <c r="I28" s="117">
        <f t="shared" si="2"/>
        <v>79391</v>
      </c>
      <c r="J28" s="4"/>
    </row>
    <row r="29" spans="1:10" ht="21.75" customHeight="1" x14ac:dyDescent="0.35">
      <c r="A29" s="99"/>
      <c r="B29" s="111">
        <v>26</v>
      </c>
      <c r="C29" s="5" t="str">
        <f t="shared" si="0"/>
        <v>السبت</v>
      </c>
      <c r="D29" s="114"/>
      <c r="E29" s="113">
        <f t="shared" si="3"/>
        <v>79391</v>
      </c>
      <c r="F29" s="114"/>
      <c r="G29" s="115">
        <f t="shared" si="1"/>
        <v>79391</v>
      </c>
      <c r="H29" s="116"/>
      <c r="I29" s="117">
        <f t="shared" si="2"/>
        <v>79391</v>
      </c>
      <c r="J29" s="4"/>
    </row>
    <row r="30" spans="1:10" ht="21.75" customHeight="1" x14ac:dyDescent="0.35">
      <c r="A30" s="99"/>
      <c r="B30" s="111">
        <v>27</v>
      </c>
      <c r="C30" s="5" t="str">
        <f t="shared" si="0"/>
        <v>السبت</v>
      </c>
      <c r="D30" s="114"/>
      <c r="E30" s="113">
        <f t="shared" si="3"/>
        <v>79391</v>
      </c>
      <c r="F30" s="114"/>
      <c r="G30" s="115">
        <f t="shared" si="1"/>
        <v>79391</v>
      </c>
      <c r="H30" s="116"/>
      <c r="I30" s="117">
        <f t="shared" si="2"/>
        <v>79391</v>
      </c>
      <c r="J30" s="4"/>
    </row>
    <row r="31" spans="1:10" ht="21.75" customHeight="1" x14ac:dyDescent="0.35">
      <c r="A31" s="99"/>
      <c r="B31" s="111">
        <v>28</v>
      </c>
      <c r="C31" s="5" t="str">
        <f t="shared" si="0"/>
        <v>السبت</v>
      </c>
      <c r="D31" s="114"/>
      <c r="E31" s="113">
        <f t="shared" si="3"/>
        <v>79391</v>
      </c>
      <c r="F31" s="114"/>
      <c r="G31" s="115">
        <f t="shared" si="1"/>
        <v>79391</v>
      </c>
      <c r="H31" s="116"/>
      <c r="I31" s="117">
        <f t="shared" si="2"/>
        <v>79391</v>
      </c>
      <c r="J31" s="4"/>
    </row>
    <row r="32" spans="1:10" ht="21.75" customHeight="1" x14ac:dyDescent="0.35">
      <c r="A32" s="99"/>
      <c r="B32" s="111">
        <v>29</v>
      </c>
      <c r="C32" s="5" t="str">
        <f t="shared" si="0"/>
        <v>السبت</v>
      </c>
      <c r="D32" s="114"/>
      <c r="E32" s="113">
        <f t="shared" si="3"/>
        <v>79391</v>
      </c>
      <c r="F32" s="114"/>
      <c r="G32" s="115">
        <f t="shared" si="1"/>
        <v>79391</v>
      </c>
      <c r="H32" s="116"/>
      <c r="I32" s="117">
        <f t="shared" si="2"/>
        <v>79391</v>
      </c>
      <c r="J32" s="4"/>
    </row>
    <row r="33" spans="1:10" ht="21.75" customHeight="1" x14ac:dyDescent="0.35">
      <c r="A33" s="99"/>
      <c r="B33" s="111">
        <v>30</v>
      </c>
      <c r="C33" s="5" t="str">
        <f t="shared" si="0"/>
        <v>السبت</v>
      </c>
      <c r="D33" s="114"/>
      <c r="E33" s="113">
        <f t="shared" si="3"/>
        <v>79391</v>
      </c>
      <c r="F33" s="114"/>
      <c r="G33" s="115">
        <f t="shared" si="1"/>
        <v>79391</v>
      </c>
      <c r="H33" s="116"/>
      <c r="I33" s="117">
        <f t="shared" si="2"/>
        <v>79391</v>
      </c>
      <c r="J33" s="4"/>
    </row>
    <row r="34" spans="1:10" ht="21.75" customHeight="1" x14ac:dyDescent="0.35">
      <c r="A34" s="99"/>
      <c r="B34" s="111">
        <v>31</v>
      </c>
      <c r="C34" s="5" t="str">
        <f t="shared" si="0"/>
        <v>السبت</v>
      </c>
      <c r="D34" s="114"/>
      <c r="E34" s="113">
        <f t="shared" si="3"/>
        <v>79391</v>
      </c>
      <c r="F34" s="114"/>
      <c r="G34" s="115">
        <f t="shared" si="1"/>
        <v>79391</v>
      </c>
      <c r="H34" s="116"/>
      <c r="I34" s="117">
        <f t="shared" si="2"/>
        <v>79391</v>
      </c>
      <c r="J34" s="4"/>
    </row>
    <row r="35" spans="1:10" ht="21.75" customHeight="1" x14ac:dyDescent="0.35">
      <c r="A35" s="99"/>
      <c r="B35" s="111">
        <v>32</v>
      </c>
      <c r="C35" s="5" t="str">
        <f t="shared" si="0"/>
        <v>السبت</v>
      </c>
      <c r="D35" s="114"/>
      <c r="E35" s="113">
        <f t="shared" si="3"/>
        <v>79391</v>
      </c>
      <c r="F35" s="114"/>
      <c r="G35" s="115">
        <f t="shared" si="1"/>
        <v>79391</v>
      </c>
      <c r="H35" s="116"/>
      <c r="I35" s="117">
        <f t="shared" si="2"/>
        <v>79391</v>
      </c>
      <c r="J35" s="4"/>
    </row>
    <row r="36" spans="1:10" ht="21.75" customHeight="1" x14ac:dyDescent="0.35">
      <c r="A36" s="99"/>
      <c r="B36" s="111">
        <v>33</v>
      </c>
      <c r="C36" s="5" t="str">
        <f t="shared" si="0"/>
        <v>السبت</v>
      </c>
      <c r="D36" s="114"/>
      <c r="E36" s="113">
        <f t="shared" si="3"/>
        <v>79391</v>
      </c>
      <c r="F36" s="114"/>
      <c r="G36" s="115">
        <f t="shared" si="1"/>
        <v>79391</v>
      </c>
      <c r="H36" s="116"/>
      <c r="I36" s="117">
        <f t="shared" si="2"/>
        <v>79391</v>
      </c>
      <c r="J36" s="4"/>
    </row>
    <row r="37" spans="1:10" ht="21.75" customHeight="1" x14ac:dyDescent="0.35">
      <c r="A37" s="99"/>
      <c r="B37" s="111">
        <v>34</v>
      </c>
      <c r="C37" s="5" t="str">
        <f t="shared" si="0"/>
        <v>السبت</v>
      </c>
      <c r="D37" s="114"/>
      <c r="E37" s="113">
        <f t="shared" si="3"/>
        <v>79391</v>
      </c>
      <c r="F37" s="114"/>
      <c r="G37" s="115">
        <f t="shared" si="1"/>
        <v>79391</v>
      </c>
      <c r="H37" s="116"/>
      <c r="I37" s="117">
        <f t="shared" si="2"/>
        <v>79391</v>
      </c>
      <c r="J37" s="4"/>
    </row>
    <row r="38" spans="1:10" ht="21.75" customHeight="1" x14ac:dyDescent="0.35">
      <c r="A38" s="99"/>
      <c r="B38" s="111">
        <v>35</v>
      </c>
      <c r="C38" s="5" t="str">
        <f t="shared" si="0"/>
        <v>السبت</v>
      </c>
      <c r="D38" s="114"/>
      <c r="E38" s="113">
        <f t="shared" si="3"/>
        <v>79391</v>
      </c>
      <c r="F38" s="114"/>
      <c r="G38" s="115">
        <f t="shared" si="1"/>
        <v>79391</v>
      </c>
      <c r="H38" s="116"/>
      <c r="I38" s="117">
        <f t="shared" si="2"/>
        <v>79391</v>
      </c>
      <c r="J38" s="4"/>
    </row>
    <row r="39" spans="1:10" ht="21.75" customHeight="1" x14ac:dyDescent="0.35">
      <c r="A39" s="99"/>
      <c r="B39" s="111">
        <v>36</v>
      </c>
      <c r="C39" s="5" t="str">
        <f t="shared" si="0"/>
        <v>السبت</v>
      </c>
      <c r="D39" s="114"/>
      <c r="E39" s="113">
        <f t="shared" si="3"/>
        <v>79391</v>
      </c>
      <c r="F39" s="114"/>
      <c r="G39" s="115">
        <f t="shared" si="1"/>
        <v>79391</v>
      </c>
      <c r="H39" s="116"/>
      <c r="I39" s="117">
        <f t="shared" si="2"/>
        <v>79391</v>
      </c>
      <c r="J39" s="4"/>
    </row>
    <row r="40" spans="1:10" ht="21.75" customHeight="1" x14ac:dyDescent="0.35">
      <c r="A40" s="99"/>
      <c r="B40" s="111">
        <v>37</v>
      </c>
      <c r="C40" s="5" t="str">
        <f t="shared" si="0"/>
        <v>السبت</v>
      </c>
      <c r="D40" s="114"/>
      <c r="E40" s="113">
        <f t="shared" si="3"/>
        <v>79391</v>
      </c>
      <c r="F40" s="114"/>
      <c r="G40" s="115">
        <f t="shared" si="1"/>
        <v>79391</v>
      </c>
      <c r="H40" s="116"/>
      <c r="I40" s="117">
        <f t="shared" si="2"/>
        <v>79391</v>
      </c>
      <c r="J40" s="4"/>
    </row>
    <row r="41" spans="1:10" ht="21.75" customHeight="1" x14ac:dyDescent="0.35">
      <c r="A41" s="99"/>
      <c r="B41" s="111">
        <v>38</v>
      </c>
      <c r="C41" s="5" t="str">
        <f t="shared" si="0"/>
        <v>السبت</v>
      </c>
      <c r="D41" s="114"/>
      <c r="E41" s="113">
        <f t="shared" si="3"/>
        <v>79391</v>
      </c>
      <c r="F41" s="114"/>
      <c r="G41" s="115">
        <f t="shared" si="1"/>
        <v>79391</v>
      </c>
      <c r="H41" s="116"/>
      <c r="I41" s="117">
        <f t="shared" si="2"/>
        <v>79391</v>
      </c>
      <c r="J41" s="4"/>
    </row>
    <row r="42" spans="1:10" ht="21.75" customHeight="1" x14ac:dyDescent="0.35">
      <c r="A42" s="99"/>
      <c r="B42" s="111">
        <v>39</v>
      </c>
      <c r="C42" s="5" t="str">
        <f t="shared" si="0"/>
        <v>السبت</v>
      </c>
      <c r="D42" s="114"/>
      <c r="E42" s="113">
        <f t="shared" si="3"/>
        <v>79391</v>
      </c>
      <c r="F42" s="114"/>
      <c r="G42" s="115">
        <f t="shared" si="1"/>
        <v>79391</v>
      </c>
      <c r="H42" s="116"/>
      <c r="I42" s="117">
        <f t="shared" si="2"/>
        <v>79391</v>
      </c>
      <c r="J42" s="4"/>
    </row>
    <row r="43" spans="1:10" ht="21.75" customHeight="1" x14ac:dyDescent="0.35">
      <c r="A43" s="99"/>
      <c r="B43" s="111">
        <v>40</v>
      </c>
      <c r="C43" s="5" t="str">
        <f t="shared" si="0"/>
        <v>السبت</v>
      </c>
      <c r="D43" s="114"/>
      <c r="E43" s="113">
        <f t="shared" si="3"/>
        <v>79391</v>
      </c>
      <c r="F43" s="114"/>
      <c r="G43" s="115">
        <f t="shared" si="1"/>
        <v>79391</v>
      </c>
      <c r="H43" s="116"/>
      <c r="I43" s="117">
        <f t="shared" si="2"/>
        <v>79391</v>
      </c>
      <c r="J43" s="4"/>
    </row>
    <row r="44" spans="1:10" ht="21.75" customHeight="1" x14ac:dyDescent="0.35">
      <c r="A44" s="99"/>
      <c r="B44" s="111">
        <v>41</v>
      </c>
      <c r="C44" s="5" t="str">
        <f t="shared" si="0"/>
        <v>السبت</v>
      </c>
      <c r="D44" s="114"/>
      <c r="E44" s="113">
        <f t="shared" si="3"/>
        <v>79391</v>
      </c>
      <c r="F44" s="114"/>
      <c r="G44" s="115">
        <f t="shared" si="1"/>
        <v>79391</v>
      </c>
      <c r="H44" s="116"/>
      <c r="I44" s="117">
        <f t="shared" si="2"/>
        <v>79391</v>
      </c>
      <c r="J44" s="4"/>
    </row>
    <row r="45" spans="1:10" ht="21.75" customHeight="1" x14ac:dyDescent="0.35">
      <c r="A45" s="99"/>
      <c r="B45" s="111">
        <v>42</v>
      </c>
      <c r="C45" s="5" t="str">
        <f t="shared" si="0"/>
        <v>السبت</v>
      </c>
      <c r="D45" s="114"/>
      <c r="E45" s="113">
        <f t="shared" si="3"/>
        <v>79391</v>
      </c>
      <c r="F45" s="114"/>
      <c r="G45" s="115">
        <f t="shared" si="1"/>
        <v>79391</v>
      </c>
      <c r="H45" s="116"/>
      <c r="I45" s="117">
        <f t="shared" si="2"/>
        <v>79391</v>
      </c>
      <c r="J45" s="4"/>
    </row>
    <row r="46" spans="1:10" ht="21.75" customHeight="1" x14ac:dyDescent="0.35">
      <c r="A46" s="99"/>
      <c r="B46" s="111">
        <v>43</v>
      </c>
      <c r="C46" s="5" t="str">
        <f t="shared" si="0"/>
        <v>السبت</v>
      </c>
      <c r="D46" s="114"/>
      <c r="E46" s="113">
        <f t="shared" si="3"/>
        <v>79391</v>
      </c>
      <c r="F46" s="114"/>
      <c r="G46" s="115">
        <f t="shared" si="1"/>
        <v>79391</v>
      </c>
      <c r="H46" s="116"/>
      <c r="I46" s="117">
        <f t="shared" si="2"/>
        <v>79391</v>
      </c>
      <c r="J46" s="4"/>
    </row>
    <row r="47" spans="1:10" ht="21.75" customHeight="1" x14ac:dyDescent="0.35">
      <c r="A47" s="99"/>
      <c r="B47" s="111">
        <v>44</v>
      </c>
      <c r="C47" s="5" t="str">
        <f t="shared" si="0"/>
        <v>السبت</v>
      </c>
      <c r="D47" s="114"/>
      <c r="E47" s="113">
        <f t="shared" si="3"/>
        <v>79391</v>
      </c>
      <c r="F47" s="114"/>
      <c r="G47" s="115">
        <f t="shared" si="1"/>
        <v>79391</v>
      </c>
      <c r="H47" s="116"/>
      <c r="I47" s="117">
        <f t="shared" si="2"/>
        <v>79391</v>
      </c>
      <c r="J47" s="4"/>
    </row>
    <row r="48" spans="1:10" ht="21.75" customHeight="1" x14ac:dyDescent="0.35">
      <c r="A48" s="99"/>
      <c r="B48" s="111">
        <v>45</v>
      </c>
      <c r="C48" s="5" t="str">
        <f t="shared" si="0"/>
        <v>السبت</v>
      </c>
      <c r="D48" s="114"/>
      <c r="E48" s="113">
        <f t="shared" si="3"/>
        <v>79391</v>
      </c>
      <c r="F48" s="114"/>
      <c r="G48" s="115">
        <f t="shared" si="1"/>
        <v>79391</v>
      </c>
      <c r="H48" s="116"/>
      <c r="I48" s="117">
        <f t="shared" si="2"/>
        <v>79391</v>
      </c>
      <c r="J48" s="4"/>
    </row>
    <row r="49" spans="1:10" ht="21.75" customHeight="1" x14ac:dyDescent="0.35">
      <c r="A49" s="99"/>
      <c r="B49" s="111">
        <v>46</v>
      </c>
      <c r="C49" s="5" t="str">
        <f t="shared" si="0"/>
        <v>السبت</v>
      </c>
      <c r="D49" s="114"/>
      <c r="E49" s="113">
        <f t="shared" si="3"/>
        <v>79391</v>
      </c>
      <c r="F49" s="114"/>
      <c r="G49" s="115">
        <f t="shared" si="1"/>
        <v>79391</v>
      </c>
      <c r="H49" s="116"/>
      <c r="I49" s="117">
        <f t="shared" si="2"/>
        <v>79391</v>
      </c>
      <c r="J49" s="4"/>
    </row>
    <row r="50" spans="1:10" ht="21.75" customHeight="1" x14ac:dyDescent="0.35">
      <c r="A50" s="99"/>
      <c r="B50" s="111">
        <v>47</v>
      </c>
      <c r="C50" s="5" t="str">
        <f t="shared" si="0"/>
        <v>السبت</v>
      </c>
      <c r="D50" s="114"/>
      <c r="E50" s="113">
        <f t="shared" si="3"/>
        <v>79391</v>
      </c>
      <c r="F50" s="114"/>
      <c r="G50" s="115">
        <f t="shared" si="1"/>
        <v>79391</v>
      </c>
      <c r="H50" s="116"/>
      <c r="I50" s="117">
        <f t="shared" si="2"/>
        <v>79391</v>
      </c>
      <c r="J50" s="4"/>
    </row>
    <row r="51" spans="1:10" ht="21.75" customHeight="1" x14ac:dyDescent="0.35">
      <c r="A51" s="99"/>
      <c r="B51" s="111">
        <v>48</v>
      </c>
      <c r="C51" s="5" t="str">
        <f t="shared" si="0"/>
        <v>السبت</v>
      </c>
      <c r="D51" s="114"/>
      <c r="E51" s="113">
        <f t="shared" si="3"/>
        <v>79391</v>
      </c>
      <c r="F51" s="114"/>
      <c r="G51" s="115">
        <f t="shared" si="1"/>
        <v>79391</v>
      </c>
      <c r="H51" s="116"/>
      <c r="I51" s="117">
        <f t="shared" si="2"/>
        <v>79391</v>
      </c>
      <c r="J51" s="4"/>
    </row>
    <row r="52" spans="1:10" ht="21.75" customHeight="1" x14ac:dyDescent="0.35">
      <c r="A52" s="99"/>
      <c r="B52" s="111">
        <v>49</v>
      </c>
      <c r="C52" s="5" t="str">
        <f t="shared" si="0"/>
        <v>السبت</v>
      </c>
      <c r="D52" s="114"/>
      <c r="E52" s="113">
        <f t="shared" si="3"/>
        <v>79391</v>
      </c>
      <c r="F52" s="114"/>
      <c r="G52" s="115">
        <f t="shared" si="1"/>
        <v>79391</v>
      </c>
      <c r="H52" s="116"/>
      <c r="I52" s="117">
        <f t="shared" si="2"/>
        <v>79391</v>
      </c>
      <c r="J52" s="4"/>
    </row>
    <row r="53" spans="1:10" ht="21.75" customHeight="1" x14ac:dyDescent="0.35">
      <c r="A53" s="99"/>
      <c r="B53" s="111">
        <v>50</v>
      </c>
      <c r="C53" s="5" t="str">
        <f t="shared" si="0"/>
        <v>السبت</v>
      </c>
      <c r="D53" s="114"/>
      <c r="E53" s="113">
        <f t="shared" si="3"/>
        <v>79391</v>
      </c>
      <c r="F53" s="114"/>
      <c r="G53" s="115">
        <f t="shared" si="1"/>
        <v>79391</v>
      </c>
      <c r="H53" s="116"/>
      <c r="I53" s="117">
        <f t="shared" si="2"/>
        <v>79391</v>
      </c>
      <c r="J53" s="4"/>
    </row>
    <row r="54" spans="1:10" ht="21.75" customHeight="1" x14ac:dyDescent="0.35">
      <c r="A54" s="99"/>
      <c r="B54" s="111">
        <v>51</v>
      </c>
      <c r="C54" s="5" t="str">
        <f t="shared" si="0"/>
        <v>السبت</v>
      </c>
      <c r="D54" s="114"/>
      <c r="E54" s="113">
        <f t="shared" si="3"/>
        <v>79391</v>
      </c>
      <c r="F54" s="114"/>
      <c r="G54" s="115">
        <f t="shared" si="1"/>
        <v>79391</v>
      </c>
      <c r="H54" s="116"/>
      <c r="I54" s="117">
        <f t="shared" si="2"/>
        <v>79391</v>
      </c>
      <c r="J54" s="4"/>
    </row>
    <row r="55" spans="1:10" ht="21.75" customHeight="1" x14ac:dyDescent="0.35">
      <c r="A55" s="99"/>
      <c r="B55" s="111">
        <v>52</v>
      </c>
      <c r="C55" s="5" t="str">
        <f t="shared" si="0"/>
        <v>السبت</v>
      </c>
      <c r="D55" s="114"/>
      <c r="E55" s="113">
        <f t="shared" si="3"/>
        <v>79391</v>
      </c>
      <c r="F55" s="114"/>
      <c r="G55" s="115">
        <f t="shared" si="1"/>
        <v>79391</v>
      </c>
      <c r="H55" s="116"/>
      <c r="I55" s="117">
        <f t="shared" si="2"/>
        <v>79391</v>
      </c>
      <c r="J55" s="4"/>
    </row>
    <row r="56" spans="1:10" ht="21.75" customHeight="1" x14ac:dyDescent="0.35">
      <c r="A56" s="99"/>
      <c r="B56" s="111">
        <v>53</v>
      </c>
      <c r="C56" s="5" t="str">
        <f t="shared" si="0"/>
        <v>السبت</v>
      </c>
      <c r="D56" s="114"/>
      <c r="E56" s="113">
        <f t="shared" si="3"/>
        <v>79391</v>
      </c>
      <c r="F56" s="114"/>
      <c r="G56" s="115">
        <f t="shared" si="1"/>
        <v>79391</v>
      </c>
      <c r="H56" s="116"/>
      <c r="I56" s="117">
        <f t="shared" si="2"/>
        <v>79391</v>
      </c>
      <c r="J56" s="4"/>
    </row>
    <row r="57" spans="1:10" ht="21.75" customHeight="1" x14ac:dyDescent="0.35">
      <c r="A57" s="99"/>
      <c r="B57" s="111">
        <v>54</v>
      </c>
      <c r="C57" s="5" t="str">
        <f t="shared" si="0"/>
        <v>السبت</v>
      </c>
      <c r="D57" s="114"/>
      <c r="E57" s="113">
        <f t="shared" si="3"/>
        <v>79391</v>
      </c>
      <c r="F57" s="114"/>
      <c r="G57" s="115">
        <f t="shared" si="1"/>
        <v>79391</v>
      </c>
      <c r="H57" s="116"/>
      <c r="I57" s="117">
        <f t="shared" si="2"/>
        <v>79391</v>
      </c>
      <c r="J57" s="4"/>
    </row>
    <row r="58" spans="1:10" ht="21.75" customHeight="1" x14ac:dyDescent="0.35">
      <c r="A58" s="99"/>
      <c r="B58" s="111">
        <v>55</v>
      </c>
      <c r="C58" s="5" t="str">
        <f t="shared" si="0"/>
        <v>السبت</v>
      </c>
      <c r="D58" s="114"/>
      <c r="E58" s="113">
        <f t="shared" si="3"/>
        <v>79391</v>
      </c>
      <c r="F58" s="114"/>
      <c r="G58" s="115">
        <f t="shared" si="1"/>
        <v>79391</v>
      </c>
      <c r="H58" s="116"/>
      <c r="I58" s="117">
        <f t="shared" si="2"/>
        <v>79391</v>
      </c>
      <c r="J58" s="4"/>
    </row>
    <row r="59" spans="1:10" ht="21.75" customHeight="1" x14ac:dyDescent="0.35">
      <c r="A59" s="99"/>
      <c r="B59" s="111">
        <v>56</v>
      </c>
      <c r="C59" s="5" t="str">
        <f t="shared" si="0"/>
        <v>السبت</v>
      </c>
      <c r="D59" s="114"/>
      <c r="E59" s="113">
        <f t="shared" si="3"/>
        <v>79391</v>
      </c>
      <c r="F59" s="114"/>
      <c r="G59" s="115">
        <f t="shared" si="1"/>
        <v>79391</v>
      </c>
      <c r="H59" s="116"/>
      <c r="I59" s="117">
        <f t="shared" si="2"/>
        <v>79391</v>
      </c>
      <c r="J59" s="4"/>
    </row>
    <row r="60" spans="1:10" ht="21.75" customHeight="1" x14ac:dyDescent="0.35">
      <c r="A60" s="99"/>
      <c r="B60" s="111">
        <v>57</v>
      </c>
      <c r="C60" s="5" t="str">
        <f t="shared" si="0"/>
        <v>السبت</v>
      </c>
      <c r="D60" s="114"/>
      <c r="E60" s="113">
        <f t="shared" si="3"/>
        <v>79391</v>
      </c>
      <c r="F60" s="114"/>
      <c r="G60" s="115">
        <f t="shared" si="1"/>
        <v>79391</v>
      </c>
      <c r="H60" s="116"/>
      <c r="I60" s="117">
        <f t="shared" si="2"/>
        <v>79391</v>
      </c>
      <c r="J60" s="4"/>
    </row>
    <row r="61" spans="1:10" ht="21.75" customHeight="1" x14ac:dyDescent="0.35">
      <c r="A61" s="99"/>
      <c r="B61" s="111">
        <v>58</v>
      </c>
      <c r="C61" s="5" t="str">
        <f t="shared" si="0"/>
        <v>السبت</v>
      </c>
      <c r="D61" s="114"/>
      <c r="E61" s="113">
        <f t="shared" si="3"/>
        <v>79391</v>
      </c>
      <c r="F61" s="114"/>
      <c r="G61" s="115">
        <f t="shared" si="1"/>
        <v>79391</v>
      </c>
      <c r="H61" s="116"/>
      <c r="I61" s="117">
        <f t="shared" si="2"/>
        <v>79391</v>
      </c>
      <c r="J61" s="4"/>
    </row>
    <row r="62" spans="1:10" ht="21.75" customHeight="1" x14ac:dyDescent="0.35">
      <c r="A62" s="99"/>
      <c r="B62" s="111">
        <v>59</v>
      </c>
      <c r="C62" s="5" t="str">
        <f t="shared" si="0"/>
        <v>السبت</v>
      </c>
      <c r="D62" s="114"/>
      <c r="E62" s="113">
        <f t="shared" si="3"/>
        <v>79391</v>
      </c>
      <c r="F62" s="114"/>
      <c r="G62" s="115">
        <f t="shared" si="1"/>
        <v>79391</v>
      </c>
      <c r="H62" s="116"/>
      <c r="I62" s="117">
        <f t="shared" si="2"/>
        <v>79391</v>
      </c>
      <c r="J62" s="4"/>
    </row>
    <row r="63" spans="1:10" ht="21.75" customHeight="1" x14ac:dyDescent="0.35">
      <c r="A63" s="99"/>
      <c r="B63" s="111">
        <v>60</v>
      </c>
      <c r="C63" s="5" t="str">
        <f t="shared" si="0"/>
        <v>السبت</v>
      </c>
      <c r="D63" s="114"/>
      <c r="E63" s="113">
        <f t="shared" si="3"/>
        <v>79391</v>
      </c>
      <c r="F63" s="114"/>
      <c r="G63" s="115">
        <f t="shared" si="1"/>
        <v>79391</v>
      </c>
      <c r="H63" s="116"/>
      <c r="I63" s="117">
        <f t="shared" si="2"/>
        <v>79391</v>
      </c>
      <c r="J63" s="4"/>
    </row>
    <row r="64" spans="1:10" ht="21.75" customHeight="1" x14ac:dyDescent="0.35">
      <c r="A64" s="99"/>
      <c r="B64" s="111">
        <v>61</v>
      </c>
      <c r="C64" s="5" t="str">
        <f t="shared" si="0"/>
        <v>السبت</v>
      </c>
      <c r="D64" s="114"/>
      <c r="E64" s="113">
        <f t="shared" si="3"/>
        <v>79391</v>
      </c>
      <c r="F64" s="114"/>
      <c r="G64" s="115">
        <f t="shared" si="1"/>
        <v>79391</v>
      </c>
      <c r="H64" s="116"/>
      <c r="I64" s="117">
        <f t="shared" si="2"/>
        <v>79391</v>
      </c>
      <c r="J64" s="4"/>
    </row>
    <row r="65" spans="1:10" ht="21.75" customHeight="1" x14ac:dyDescent="0.35">
      <c r="A65" s="99"/>
      <c r="B65" s="111">
        <v>62</v>
      </c>
      <c r="C65" s="5" t="str">
        <f t="shared" si="0"/>
        <v>السبت</v>
      </c>
      <c r="D65" s="114"/>
      <c r="E65" s="113">
        <f t="shared" si="3"/>
        <v>79391</v>
      </c>
      <c r="F65" s="114"/>
      <c r="G65" s="115">
        <f t="shared" si="1"/>
        <v>79391</v>
      </c>
      <c r="H65" s="116"/>
      <c r="I65" s="117">
        <f t="shared" si="2"/>
        <v>79391</v>
      </c>
      <c r="J65" s="4"/>
    </row>
    <row r="66" spans="1:10" ht="21.75" customHeight="1" x14ac:dyDescent="0.35">
      <c r="A66" s="99"/>
      <c r="B66" s="111">
        <v>63</v>
      </c>
      <c r="C66" s="5" t="str">
        <f t="shared" si="0"/>
        <v>السبت</v>
      </c>
      <c r="D66" s="114"/>
      <c r="E66" s="113">
        <f t="shared" si="3"/>
        <v>79391</v>
      </c>
      <c r="F66" s="114"/>
      <c r="G66" s="115">
        <f t="shared" si="1"/>
        <v>79391</v>
      </c>
      <c r="H66" s="116"/>
      <c r="I66" s="117">
        <f t="shared" si="2"/>
        <v>79391</v>
      </c>
      <c r="J66" s="4"/>
    </row>
    <row r="67" spans="1:10" ht="21.75" customHeight="1" thickBot="1" x14ac:dyDescent="0.4">
      <c r="A67" s="99"/>
      <c r="B67" s="120">
        <v>64</v>
      </c>
      <c r="C67" s="121" t="str">
        <f t="shared" si="0"/>
        <v>السبت</v>
      </c>
      <c r="D67" s="122"/>
      <c r="E67" s="123">
        <f t="shared" si="3"/>
        <v>79391</v>
      </c>
      <c r="F67" s="122"/>
      <c r="G67" s="124">
        <f t="shared" si="1"/>
        <v>79391</v>
      </c>
      <c r="H67" s="125"/>
      <c r="I67" s="126">
        <f t="shared" si="2"/>
        <v>79391</v>
      </c>
      <c r="J67" s="127"/>
    </row>
    <row r="68" spans="1:10" ht="21.75" customHeight="1" thickTop="1" x14ac:dyDescent="0.25"/>
  </sheetData>
  <mergeCells count="5">
    <mergeCell ref="B1:E1"/>
    <mergeCell ref="F1:G1"/>
    <mergeCell ref="H1:I1"/>
    <mergeCell ref="B2:E2"/>
    <mergeCell ref="F2:I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rightToLeft="1" topLeftCell="A13" zoomScaleNormal="100" workbookViewId="0">
      <selection activeCell="I4" sqref="I4:L18"/>
    </sheetView>
  </sheetViews>
  <sheetFormatPr defaultRowHeight="15" x14ac:dyDescent="0.25"/>
  <cols>
    <col min="1" max="1" width="2.42578125" customWidth="1"/>
    <col min="2" max="2" width="4" customWidth="1"/>
    <col min="3" max="3" width="20.85546875" customWidth="1"/>
    <col min="4" max="4" width="11" customWidth="1"/>
    <col min="5" max="5" width="10.140625" customWidth="1"/>
    <col min="6" max="6" width="13.5703125" customWidth="1"/>
    <col min="7" max="7" width="16.42578125" customWidth="1"/>
    <col min="8" max="8" width="6.140625" customWidth="1"/>
    <col min="9" max="9" width="25" customWidth="1"/>
    <col min="10" max="10" width="22.5703125" customWidth="1"/>
  </cols>
  <sheetData>
    <row r="1" spans="1:12" ht="31.5" x14ac:dyDescent="0.55000000000000004">
      <c r="A1" s="139" t="s">
        <v>9</v>
      </c>
      <c r="B1" s="139"/>
      <c r="C1" s="139"/>
      <c r="D1" s="139"/>
      <c r="E1" s="139"/>
      <c r="F1" s="139"/>
      <c r="G1" s="139"/>
    </row>
    <row r="2" spans="1:12" ht="21" x14ac:dyDescent="0.35">
      <c r="A2" s="6"/>
      <c r="B2" s="146" t="s">
        <v>43</v>
      </c>
      <c r="C2" s="146"/>
      <c r="D2" s="146"/>
      <c r="E2" s="146"/>
      <c r="F2" s="146"/>
      <c r="G2" s="146"/>
    </row>
    <row r="3" spans="1:12" ht="21.75" customHeight="1" thickBot="1" x14ac:dyDescent="0.4">
      <c r="A3" s="6"/>
      <c r="B3" s="147" t="s">
        <v>42</v>
      </c>
      <c r="C3" s="147"/>
      <c r="D3" s="147"/>
      <c r="E3" s="147"/>
      <c r="F3" s="147"/>
      <c r="G3" s="147"/>
    </row>
    <row r="4" spans="1:12" ht="33" customHeight="1" thickTop="1" thickBot="1" x14ac:dyDescent="0.5">
      <c r="A4" s="7"/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I4" s="28" t="s">
        <v>15</v>
      </c>
      <c r="J4" s="28" t="s">
        <v>30</v>
      </c>
      <c r="K4" s="30" t="s">
        <v>59</v>
      </c>
      <c r="L4" s="30" t="s">
        <v>60</v>
      </c>
    </row>
    <row r="5" spans="1:12" ht="18" customHeight="1" thickTop="1" thickBot="1" x14ac:dyDescent="0.4">
      <c r="A5" s="7"/>
      <c r="B5" s="15">
        <v>1</v>
      </c>
      <c r="C5" s="8"/>
      <c r="D5" s="8"/>
      <c r="E5" s="9"/>
      <c r="F5" s="8"/>
      <c r="G5" s="15">
        <f>F5*E5</f>
        <v>0</v>
      </c>
      <c r="I5" s="29" t="s">
        <v>16</v>
      </c>
      <c r="J5" s="30" t="s">
        <v>31</v>
      </c>
      <c r="K5" s="30" t="s">
        <v>54</v>
      </c>
      <c r="L5" s="30">
        <v>2</v>
      </c>
    </row>
    <row r="6" spans="1:12" ht="18" customHeight="1" thickTop="1" thickBot="1" x14ac:dyDescent="0.4">
      <c r="A6" s="7"/>
      <c r="B6" s="16">
        <v>2</v>
      </c>
      <c r="C6" s="8"/>
      <c r="D6" s="8"/>
      <c r="E6" s="5"/>
      <c r="F6" s="4"/>
      <c r="G6" s="16">
        <f>F6*E6</f>
        <v>0</v>
      </c>
      <c r="I6" s="28" t="s">
        <v>17</v>
      </c>
      <c r="J6" s="28" t="s">
        <v>32</v>
      </c>
      <c r="K6" s="30" t="s">
        <v>55</v>
      </c>
      <c r="L6" s="30">
        <v>4</v>
      </c>
    </row>
    <row r="7" spans="1:12" ht="18" customHeight="1" thickTop="1" thickBot="1" x14ac:dyDescent="0.4">
      <c r="A7" s="7"/>
      <c r="B7" s="17">
        <v>3</v>
      </c>
      <c r="C7" s="8"/>
      <c r="D7" s="8"/>
      <c r="E7" s="5"/>
      <c r="F7" s="4"/>
      <c r="G7" s="16">
        <f t="shared" ref="G7:G34" si="0">F7*E7</f>
        <v>0</v>
      </c>
      <c r="I7" s="28" t="s">
        <v>18</v>
      </c>
      <c r="J7" s="31" t="s">
        <v>33</v>
      </c>
      <c r="K7" s="30" t="s">
        <v>56</v>
      </c>
      <c r="L7" s="30">
        <v>6</v>
      </c>
    </row>
    <row r="8" spans="1:12" ht="18" customHeight="1" thickTop="1" thickBot="1" x14ac:dyDescent="0.4">
      <c r="A8" s="7"/>
      <c r="B8" s="18">
        <v>4</v>
      </c>
      <c r="C8" s="8"/>
      <c r="D8" s="8"/>
      <c r="E8" s="5"/>
      <c r="F8" s="4"/>
      <c r="G8" s="16">
        <f t="shared" si="0"/>
        <v>0</v>
      </c>
      <c r="I8" s="28" t="s">
        <v>19</v>
      </c>
      <c r="J8" s="28" t="s">
        <v>34</v>
      </c>
      <c r="K8" s="30" t="s">
        <v>57</v>
      </c>
      <c r="L8" s="30">
        <v>8</v>
      </c>
    </row>
    <row r="9" spans="1:12" ht="18" customHeight="1" thickTop="1" thickBot="1" x14ac:dyDescent="0.4">
      <c r="A9" s="7"/>
      <c r="B9" s="18">
        <v>5</v>
      </c>
      <c r="C9" s="8"/>
      <c r="D9" s="8"/>
      <c r="E9" s="5"/>
      <c r="F9" s="4"/>
      <c r="G9" s="16">
        <f t="shared" si="0"/>
        <v>0</v>
      </c>
      <c r="I9" s="28" t="s">
        <v>20</v>
      </c>
      <c r="J9" s="28" t="s">
        <v>35</v>
      </c>
      <c r="K9" s="26" t="s">
        <v>52</v>
      </c>
      <c r="L9" s="30">
        <v>10</v>
      </c>
    </row>
    <row r="10" spans="1:12" ht="18" customHeight="1" thickTop="1" thickBot="1" x14ac:dyDescent="0.4">
      <c r="A10" s="7"/>
      <c r="B10" s="16">
        <v>6</v>
      </c>
      <c r="C10" s="8"/>
      <c r="D10" s="8"/>
      <c r="E10" s="5"/>
      <c r="F10" s="4"/>
      <c r="G10" s="16">
        <f t="shared" si="0"/>
        <v>0</v>
      </c>
      <c r="I10" s="28" t="s">
        <v>21</v>
      </c>
      <c r="J10" s="28" t="s">
        <v>36</v>
      </c>
      <c r="K10" s="26" t="s">
        <v>53</v>
      </c>
      <c r="L10" s="30">
        <v>12</v>
      </c>
    </row>
    <row r="11" spans="1:12" ht="18" customHeight="1" thickTop="1" thickBot="1" x14ac:dyDescent="0.4">
      <c r="A11" s="7"/>
      <c r="B11" s="17">
        <v>7</v>
      </c>
      <c r="C11" s="4"/>
      <c r="D11" s="4"/>
      <c r="E11" s="5"/>
      <c r="F11" s="4"/>
      <c r="G11" s="16">
        <f t="shared" si="0"/>
        <v>0</v>
      </c>
      <c r="I11" s="28" t="s">
        <v>22</v>
      </c>
      <c r="J11" s="28" t="s">
        <v>37</v>
      </c>
      <c r="K11" s="26" t="s">
        <v>61</v>
      </c>
      <c r="L11" s="30">
        <v>34</v>
      </c>
    </row>
    <row r="12" spans="1:12" ht="18" customHeight="1" thickTop="1" thickBot="1" x14ac:dyDescent="0.4">
      <c r="A12" s="7"/>
      <c r="B12" s="16">
        <v>8</v>
      </c>
      <c r="C12" s="4"/>
      <c r="D12" s="4"/>
      <c r="E12" s="5"/>
      <c r="F12" s="4"/>
      <c r="G12" s="16">
        <f t="shared" si="0"/>
        <v>0</v>
      </c>
      <c r="I12" s="28" t="s">
        <v>23</v>
      </c>
      <c r="J12" s="28" t="s">
        <v>38</v>
      </c>
      <c r="K12" s="26" t="s">
        <v>62</v>
      </c>
      <c r="L12" s="30">
        <v>36</v>
      </c>
    </row>
    <row r="13" spans="1:12" ht="18" customHeight="1" thickTop="1" thickBot="1" x14ac:dyDescent="0.4">
      <c r="A13" s="7"/>
      <c r="B13" s="17">
        <v>9</v>
      </c>
      <c r="C13" s="4"/>
      <c r="D13" s="4"/>
      <c r="E13" s="5"/>
      <c r="F13" s="4"/>
      <c r="G13" s="16">
        <f t="shared" si="0"/>
        <v>0</v>
      </c>
      <c r="I13" s="28" t="s">
        <v>24</v>
      </c>
      <c r="J13" s="28" t="s">
        <v>39</v>
      </c>
      <c r="K13" s="27"/>
      <c r="L13" s="30">
        <v>38</v>
      </c>
    </row>
    <row r="14" spans="1:12" ht="18" customHeight="1" thickTop="1" thickBot="1" x14ac:dyDescent="0.4">
      <c r="A14" s="7"/>
      <c r="B14" s="18">
        <v>10</v>
      </c>
      <c r="C14" s="4"/>
      <c r="D14" s="4"/>
      <c r="E14" s="5"/>
      <c r="F14" s="4"/>
      <c r="G14" s="16">
        <f t="shared" si="0"/>
        <v>0</v>
      </c>
      <c r="I14" s="28" t="s">
        <v>25</v>
      </c>
      <c r="J14" s="28" t="s">
        <v>40</v>
      </c>
      <c r="K14" s="27"/>
      <c r="L14" s="30">
        <v>40</v>
      </c>
    </row>
    <row r="15" spans="1:12" ht="18" customHeight="1" thickTop="1" thickBot="1" x14ac:dyDescent="0.4">
      <c r="A15" s="7"/>
      <c r="B15" s="17">
        <v>11</v>
      </c>
      <c r="C15" s="4"/>
      <c r="D15" s="4"/>
      <c r="E15" s="5"/>
      <c r="F15" s="4"/>
      <c r="G15" s="16">
        <f t="shared" si="0"/>
        <v>0</v>
      </c>
      <c r="I15" s="28" t="s">
        <v>28</v>
      </c>
      <c r="J15" s="28" t="s">
        <v>41</v>
      </c>
      <c r="K15" s="27"/>
      <c r="L15" s="30">
        <v>42</v>
      </c>
    </row>
    <row r="16" spans="1:12" ht="18" customHeight="1" thickTop="1" thickBot="1" x14ac:dyDescent="0.4">
      <c r="A16" s="7"/>
      <c r="B16" s="17">
        <v>12</v>
      </c>
      <c r="C16" s="4"/>
      <c r="D16" s="4"/>
      <c r="E16" s="5"/>
      <c r="F16" s="4"/>
      <c r="G16" s="16">
        <f t="shared" si="0"/>
        <v>0</v>
      </c>
      <c r="I16" s="28" t="s">
        <v>26</v>
      </c>
      <c r="J16" s="27"/>
      <c r="K16" s="27"/>
      <c r="L16" s="30">
        <v>44</v>
      </c>
    </row>
    <row r="17" spans="1:12" ht="18" customHeight="1" thickTop="1" thickBot="1" x14ac:dyDescent="0.4">
      <c r="A17" s="7"/>
      <c r="B17" s="17">
        <v>13</v>
      </c>
      <c r="C17" s="4"/>
      <c r="D17" s="4"/>
      <c r="E17" s="5"/>
      <c r="F17" s="4"/>
      <c r="G17" s="16">
        <f t="shared" si="0"/>
        <v>0</v>
      </c>
      <c r="I17" s="28" t="s">
        <v>27</v>
      </c>
      <c r="J17" s="27"/>
      <c r="K17" s="27"/>
      <c r="L17" s="27"/>
    </row>
    <row r="18" spans="1:12" ht="18" customHeight="1" thickTop="1" thickBot="1" x14ac:dyDescent="0.4">
      <c r="A18" s="7"/>
      <c r="B18" s="17">
        <v>14</v>
      </c>
      <c r="C18" s="4"/>
      <c r="D18" s="4"/>
      <c r="E18" s="5"/>
      <c r="F18" s="4"/>
      <c r="G18" s="16">
        <f t="shared" si="0"/>
        <v>0</v>
      </c>
      <c r="I18" s="28" t="s">
        <v>29</v>
      </c>
      <c r="J18" s="27"/>
      <c r="K18" s="27"/>
      <c r="L18" s="27"/>
    </row>
    <row r="19" spans="1:12" ht="18" customHeight="1" thickTop="1" x14ac:dyDescent="0.35">
      <c r="A19" s="7"/>
      <c r="B19" s="17">
        <v>15</v>
      </c>
      <c r="C19" s="4"/>
      <c r="D19" s="4"/>
      <c r="E19" s="5"/>
      <c r="F19" s="4"/>
      <c r="G19" s="16">
        <f t="shared" si="0"/>
        <v>0</v>
      </c>
    </row>
    <row r="20" spans="1:12" ht="18" customHeight="1" x14ac:dyDescent="0.35">
      <c r="A20" s="7"/>
      <c r="B20" s="16">
        <v>16</v>
      </c>
      <c r="C20" s="4"/>
      <c r="D20" s="4"/>
      <c r="E20" s="5"/>
      <c r="F20" s="4"/>
      <c r="G20" s="16">
        <f t="shared" si="0"/>
        <v>0</v>
      </c>
    </row>
    <row r="21" spans="1:12" ht="18" customHeight="1" x14ac:dyDescent="0.35">
      <c r="A21" s="7"/>
      <c r="B21" s="16">
        <v>17</v>
      </c>
      <c r="C21" s="4"/>
      <c r="D21" s="4"/>
      <c r="E21" s="5"/>
      <c r="F21" s="4"/>
      <c r="G21" s="16">
        <f t="shared" si="0"/>
        <v>0</v>
      </c>
    </row>
    <row r="22" spans="1:12" ht="18" customHeight="1" x14ac:dyDescent="0.35">
      <c r="A22" s="7"/>
      <c r="B22" s="17">
        <v>18</v>
      </c>
      <c r="C22" s="4"/>
      <c r="D22" s="4"/>
      <c r="E22" s="5"/>
      <c r="F22" s="4"/>
      <c r="G22" s="16">
        <f t="shared" si="0"/>
        <v>0</v>
      </c>
    </row>
    <row r="23" spans="1:12" ht="18" customHeight="1" x14ac:dyDescent="0.35">
      <c r="A23" s="7"/>
      <c r="B23" s="16">
        <v>19</v>
      </c>
      <c r="C23" s="4"/>
      <c r="D23" s="4"/>
      <c r="E23" s="5"/>
      <c r="F23" s="4"/>
      <c r="G23" s="16">
        <f t="shared" si="0"/>
        <v>0</v>
      </c>
    </row>
    <row r="24" spans="1:12" ht="18" customHeight="1" x14ac:dyDescent="0.35">
      <c r="A24" s="7"/>
      <c r="B24" s="9">
        <v>20</v>
      </c>
      <c r="C24" s="4"/>
      <c r="D24" s="4"/>
      <c r="E24" s="5"/>
      <c r="F24" s="4"/>
      <c r="G24" s="16">
        <f t="shared" si="0"/>
        <v>0</v>
      </c>
    </row>
    <row r="25" spans="1:12" ht="18" customHeight="1" x14ac:dyDescent="0.35">
      <c r="A25" s="7"/>
      <c r="B25" s="17">
        <v>21</v>
      </c>
      <c r="C25" s="4"/>
      <c r="D25" s="4"/>
      <c r="E25" s="5"/>
      <c r="F25" s="4"/>
      <c r="G25" s="16">
        <f t="shared" si="0"/>
        <v>0</v>
      </c>
    </row>
    <row r="26" spans="1:12" ht="18" customHeight="1" x14ac:dyDescent="0.35">
      <c r="A26" s="7"/>
      <c r="B26" s="16">
        <v>22</v>
      </c>
      <c r="C26" s="4"/>
      <c r="D26" s="4"/>
      <c r="E26" s="5"/>
      <c r="F26" s="4"/>
      <c r="G26" s="16">
        <f t="shared" si="0"/>
        <v>0</v>
      </c>
    </row>
    <row r="27" spans="1:12" ht="18" customHeight="1" x14ac:dyDescent="0.35">
      <c r="A27" s="7"/>
      <c r="B27" s="16">
        <v>23</v>
      </c>
      <c r="C27" s="4"/>
      <c r="D27" s="4"/>
      <c r="E27" s="5"/>
      <c r="F27" s="4"/>
      <c r="G27" s="16">
        <f t="shared" si="0"/>
        <v>0</v>
      </c>
    </row>
    <row r="28" spans="1:12" ht="18" customHeight="1" x14ac:dyDescent="0.35">
      <c r="A28" s="7"/>
      <c r="B28" s="16">
        <v>24</v>
      </c>
      <c r="C28" s="4"/>
      <c r="D28" s="4"/>
      <c r="E28" s="5"/>
      <c r="F28" s="4"/>
      <c r="G28" s="16">
        <f t="shared" si="0"/>
        <v>0</v>
      </c>
    </row>
    <row r="29" spans="1:12" ht="18" customHeight="1" x14ac:dyDescent="0.35">
      <c r="A29" s="7"/>
      <c r="B29" s="16">
        <v>25</v>
      </c>
      <c r="C29" s="12"/>
      <c r="D29" s="12"/>
      <c r="E29" s="13"/>
      <c r="F29" s="12"/>
      <c r="G29" s="16">
        <f t="shared" si="0"/>
        <v>0</v>
      </c>
    </row>
    <row r="30" spans="1:12" ht="18" customHeight="1" x14ac:dyDescent="0.35">
      <c r="A30" s="7"/>
      <c r="B30" s="16">
        <v>26</v>
      </c>
      <c r="C30" s="12"/>
      <c r="D30" s="12"/>
      <c r="E30" s="13"/>
      <c r="F30" s="12"/>
      <c r="G30" s="16">
        <f t="shared" si="0"/>
        <v>0</v>
      </c>
    </row>
    <row r="31" spans="1:12" ht="18" customHeight="1" x14ac:dyDescent="0.35">
      <c r="A31" s="7"/>
      <c r="B31" s="16">
        <v>27</v>
      </c>
      <c r="C31" s="12"/>
      <c r="D31" s="12"/>
      <c r="E31" s="5"/>
      <c r="F31" s="12"/>
      <c r="G31" s="16">
        <f t="shared" si="0"/>
        <v>0</v>
      </c>
    </row>
    <row r="32" spans="1:12" ht="18" customHeight="1" x14ac:dyDescent="0.35">
      <c r="A32" s="7"/>
      <c r="B32" s="16">
        <v>28</v>
      </c>
      <c r="C32" s="12"/>
      <c r="D32" s="12"/>
      <c r="E32" s="13"/>
      <c r="F32" s="12"/>
      <c r="G32" s="16">
        <f t="shared" si="0"/>
        <v>0</v>
      </c>
    </row>
    <row r="33" spans="1:7" ht="18" customHeight="1" x14ac:dyDescent="0.35">
      <c r="A33" s="7"/>
      <c r="B33" s="16">
        <v>29</v>
      </c>
      <c r="C33" s="12"/>
      <c r="D33" s="12"/>
      <c r="E33" s="13"/>
      <c r="F33" s="12"/>
      <c r="G33" s="16">
        <f t="shared" si="0"/>
        <v>0</v>
      </c>
    </row>
    <row r="34" spans="1:7" ht="18" customHeight="1" thickBot="1" x14ac:dyDescent="0.4">
      <c r="A34" s="7"/>
      <c r="B34" s="17">
        <v>30</v>
      </c>
      <c r="C34" s="12"/>
      <c r="D34" s="12"/>
      <c r="E34" s="13"/>
      <c r="F34" s="12"/>
      <c r="G34" s="16">
        <f t="shared" si="0"/>
        <v>0</v>
      </c>
    </row>
    <row r="35" spans="1:7" ht="25.5" customHeight="1" thickTop="1" thickBot="1" x14ac:dyDescent="0.5">
      <c r="A35" s="7"/>
      <c r="B35" s="143" t="s">
        <v>1</v>
      </c>
      <c r="C35" s="144"/>
      <c r="D35" s="144"/>
      <c r="E35" s="144"/>
      <c r="F35" s="145"/>
      <c r="G35" s="2">
        <f>SUM(G5:G34)</f>
        <v>0</v>
      </c>
    </row>
    <row r="36" spans="1:7" ht="11.25" customHeight="1" thickTop="1" thickBot="1" x14ac:dyDescent="0.3">
      <c r="C36" s="1"/>
      <c r="D36" s="1"/>
      <c r="E36" s="1"/>
      <c r="F36" s="1"/>
      <c r="G36" s="1"/>
    </row>
    <row r="37" spans="1:7" ht="22.5" customHeight="1" thickTop="1" thickBot="1" x14ac:dyDescent="0.4">
      <c r="C37" s="140" t="s">
        <v>44</v>
      </c>
      <c r="D37" s="141"/>
      <c r="E37" s="140"/>
      <c r="F37" s="142"/>
    </row>
    <row r="38" spans="1:7" ht="21" customHeight="1" thickTop="1" thickBot="1" x14ac:dyDescent="0.4">
      <c r="C38" s="140" t="s">
        <v>45</v>
      </c>
      <c r="D38" s="141"/>
      <c r="E38" s="140"/>
      <c r="F38" s="142"/>
    </row>
    <row r="39" spans="1:7" ht="21" customHeight="1" thickTop="1" thickBot="1" x14ac:dyDescent="0.4">
      <c r="C39" s="140" t="s">
        <v>8</v>
      </c>
      <c r="D39" s="141"/>
      <c r="E39" s="140">
        <f>E37+E38</f>
        <v>0</v>
      </c>
      <c r="F39" s="142"/>
    </row>
    <row r="40" spans="1:7" ht="15.75" thickTop="1" x14ac:dyDescent="0.25"/>
  </sheetData>
  <mergeCells count="10">
    <mergeCell ref="A1:G1"/>
    <mergeCell ref="C37:D37"/>
    <mergeCell ref="C38:D38"/>
    <mergeCell ref="C39:D39"/>
    <mergeCell ref="E37:F37"/>
    <mergeCell ref="E38:F38"/>
    <mergeCell ref="E39:F39"/>
    <mergeCell ref="B35:F35"/>
    <mergeCell ref="B2:G2"/>
    <mergeCell ref="B3:G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rightToLeft="1" topLeftCell="A16" zoomScaleNormal="100" workbookViewId="0">
      <selection activeCell="C11" sqref="C11"/>
    </sheetView>
  </sheetViews>
  <sheetFormatPr defaultRowHeight="15" x14ac:dyDescent="0.25"/>
  <cols>
    <col min="1" max="1" width="2.42578125" customWidth="1"/>
    <col min="2" max="2" width="4" customWidth="1"/>
    <col min="3" max="3" width="20.85546875" customWidth="1"/>
    <col min="4" max="4" width="11" customWidth="1"/>
    <col min="5" max="5" width="10.140625" customWidth="1"/>
    <col min="6" max="6" width="12.42578125" customWidth="1"/>
    <col min="7" max="7" width="19.85546875" customWidth="1"/>
    <col min="8" max="8" width="3.7109375" customWidth="1"/>
    <col min="9" max="9" width="25" customWidth="1"/>
    <col min="10" max="10" width="22.5703125" customWidth="1"/>
  </cols>
  <sheetData>
    <row r="1" spans="1:12" ht="31.5" x14ac:dyDescent="0.55000000000000004">
      <c r="A1" s="6"/>
      <c r="B1" s="139" t="s">
        <v>79</v>
      </c>
      <c r="C1" s="139"/>
      <c r="D1" s="139"/>
      <c r="E1" s="139"/>
      <c r="F1" s="139"/>
      <c r="G1" s="139"/>
    </row>
    <row r="2" spans="1:12" ht="23.25" x14ac:dyDescent="0.35">
      <c r="A2" s="6"/>
      <c r="B2" s="148" t="s">
        <v>73</v>
      </c>
      <c r="C2" s="148"/>
      <c r="D2" s="148"/>
      <c r="E2" s="148"/>
      <c r="F2" s="148"/>
      <c r="G2" s="148"/>
    </row>
    <row r="3" spans="1:12" ht="22.5" customHeight="1" thickBot="1" x14ac:dyDescent="0.4">
      <c r="A3" s="6"/>
      <c r="B3" s="149" t="s">
        <v>71</v>
      </c>
      <c r="C3" s="149"/>
      <c r="D3" s="149"/>
      <c r="E3" s="149"/>
      <c r="F3" s="149"/>
      <c r="G3" s="149"/>
    </row>
    <row r="4" spans="1:12" ht="27" customHeight="1" thickTop="1" thickBot="1" x14ac:dyDescent="0.5">
      <c r="A4" s="7"/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I4" s="69" t="s">
        <v>15</v>
      </c>
      <c r="J4" s="69" t="s">
        <v>30</v>
      </c>
      <c r="K4" s="70" t="s">
        <v>59</v>
      </c>
      <c r="L4" s="70" t="s">
        <v>60</v>
      </c>
    </row>
    <row r="5" spans="1:12" ht="20.25" customHeight="1" thickTop="1" thickBot="1" x14ac:dyDescent="0.4">
      <c r="A5" s="7"/>
      <c r="B5" s="15">
        <v>1</v>
      </c>
      <c r="C5" s="64" t="s">
        <v>41</v>
      </c>
      <c r="D5" s="64">
        <v>4</v>
      </c>
      <c r="E5" s="9">
        <v>1.5</v>
      </c>
      <c r="F5" s="8">
        <v>312</v>
      </c>
      <c r="G5" s="15">
        <f>F5*E5</f>
        <v>468</v>
      </c>
      <c r="I5" s="71" t="s">
        <v>16</v>
      </c>
      <c r="J5" s="70" t="s">
        <v>31</v>
      </c>
      <c r="K5" s="70" t="s">
        <v>54</v>
      </c>
      <c r="L5" s="70">
        <v>2</v>
      </c>
    </row>
    <row r="6" spans="1:12" ht="20.25" customHeight="1" thickTop="1" thickBot="1" x14ac:dyDescent="0.4">
      <c r="A6" s="7"/>
      <c r="B6" s="16">
        <v>2</v>
      </c>
      <c r="C6" s="64" t="s">
        <v>41</v>
      </c>
      <c r="D6" s="64">
        <v>8</v>
      </c>
      <c r="E6" s="5">
        <v>1.5</v>
      </c>
      <c r="F6" s="4">
        <v>336</v>
      </c>
      <c r="G6" s="16">
        <f>F6*E6</f>
        <v>504</v>
      </c>
      <c r="I6" s="69" t="s">
        <v>17</v>
      </c>
      <c r="J6" s="69" t="s">
        <v>32</v>
      </c>
      <c r="K6" s="70" t="s">
        <v>55</v>
      </c>
      <c r="L6" s="70">
        <v>4</v>
      </c>
    </row>
    <row r="7" spans="1:12" ht="20.25" customHeight="1" thickTop="1" thickBot="1" x14ac:dyDescent="0.4">
      <c r="A7" s="7"/>
      <c r="B7" s="17">
        <v>3</v>
      </c>
      <c r="C7" s="64" t="s">
        <v>41</v>
      </c>
      <c r="D7" s="64">
        <v>10</v>
      </c>
      <c r="E7" s="5">
        <v>1</v>
      </c>
      <c r="F7" s="4">
        <v>348</v>
      </c>
      <c r="G7" s="16">
        <f t="shared" ref="G7:G34" si="0">F7*E7</f>
        <v>348</v>
      </c>
      <c r="I7" s="69" t="s">
        <v>18</v>
      </c>
      <c r="J7" s="72" t="s">
        <v>33</v>
      </c>
      <c r="K7" s="70" t="s">
        <v>56</v>
      </c>
      <c r="L7" s="70">
        <v>6</v>
      </c>
    </row>
    <row r="8" spans="1:12" ht="20.25" customHeight="1" thickTop="1" thickBot="1" x14ac:dyDescent="0.4">
      <c r="A8" s="7"/>
      <c r="B8" s="18">
        <v>4</v>
      </c>
      <c r="C8" s="64" t="s">
        <v>41</v>
      </c>
      <c r="D8" s="64">
        <v>12</v>
      </c>
      <c r="E8" s="5">
        <v>1</v>
      </c>
      <c r="F8" s="4">
        <v>360</v>
      </c>
      <c r="G8" s="16">
        <f t="shared" si="0"/>
        <v>360</v>
      </c>
      <c r="I8" s="69" t="s">
        <v>19</v>
      </c>
      <c r="J8" s="69" t="s">
        <v>34</v>
      </c>
      <c r="K8" s="70" t="s">
        <v>57</v>
      </c>
      <c r="L8" s="70">
        <v>8</v>
      </c>
    </row>
    <row r="9" spans="1:12" ht="20.25" customHeight="1" thickTop="1" thickBot="1" x14ac:dyDescent="0.4">
      <c r="A9" s="7"/>
      <c r="B9" s="18">
        <v>5</v>
      </c>
      <c r="C9" s="64" t="s">
        <v>41</v>
      </c>
      <c r="D9" s="64">
        <v>36</v>
      </c>
      <c r="E9" s="5">
        <v>2</v>
      </c>
      <c r="F9" s="4">
        <v>410</v>
      </c>
      <c r="G9" s="16">
        <f t="shared" si="0"/>
        <v>820</v>
      </c>
      <c r="I9" s="69" t="s">
        <v>20</v>
      </c>
      <c r="J9" s="69" t="s">
        <v>35</v>
      </c>
      <c r="K9" s="73" t="s">
        <v>52</v>
      </c>
      <c r="L9" s="70">
        <v>10</v>
      </c>
    </row>
    <row r="10" spans="1:12" ht="20.25" customHeight="1" thickTop="1" thickBot="1" x14ac:dyDescent="0.4">
      <c r="A10" s="7"/>
      <c r="B10" s="16">
        <v>6</v>
      </c>
      <c r="C10" s="64" t="s">
        <v>41</v>
      </c>
      <c r="D10" s="64">
        <v>38</v>
      </c>
      <c r="E10" s="5">
        <v>1</v>
      </c>
      <c r="F10" s="4">
        <v>430</v>
      </c>
      <c r="G10" s="16">
        <f t="shared" si="0"/>
        <v>430</v>
      </c>
      <c r="I10" s="69" t="s">
        <v>21</v>
      </c>
      <c r="J10" s="69" t="s">
        <v>36</v>
      </c>
      <c r="K10" s="73" t="s">
        <v>53</v>
      </c>
      <c r="L10" s="70">
        <v>12</v>
      </c>
    </row>
    <row r="11" spans="1:12" ht="20.25" customHeight="1" thickTop="1" thickBot="1" x14ac:dyDescent="0.4">
      <c r="A11" s="7"/>
      <c r="B11" s="17">
        <v>7</v>
      </c>
      <c r="C11" s="4" t="s">
        <v>41</v>
      </c>
      <c r="D11" s="4">
        <v>40</v>
      </c>
      <c r="E11" s="5">
        <v>2</v>
      </c>
      <c r="F11" s="4">
        <v>450</v>
      </c>
      <c r="G11" s="16">
        <f t="shared" si="0"/>
        <v>900</v>
      </c>
      <c r="I11" s="69" t="s">
        <v>22</v>
      </c>
      <c r="J11" s="69" t="s">
        <v>37</v>
      </c>
      <c r="K11" s="73" t="s">
        <v>61</v>
      </c>
      <c r="L11" s="70">
        <v>34</v>
      </c>
    </row>
    <row r="12" spans="1:12" ht="20.25" customHeight="1" thickTop="1" thickBot="1" x14ac:dyDescent="0.4">
      <c r="A12" s="7"/>
      <c r="B12" s="16">
        <v>8</v>
      </c>
      <c r="C12" s="4" t="s">
        <v>41</v>
      </c>
      <c r="D12" s="4">
        <v>42</v>
      </c>
      <c r="E12" s="5">
        <v>1</v>
      </c>
      <c r="F12" s="4">
        <v>470</v>
      </c>
      <c r="G12" s="16">
        <f t="shared" si="0"/>
        <v>470</v>
      </c>
      <c r="I12" s="69" t="s">
        <v>23</v>
      </c>
      <c r="J12" s="69" t="s">
        <v>38</v>
      </c>
      <c r="K12" s="73" t="s">
        <v>62</v>
      </c>
      <c r="L12" s="70">
        <v>36</v>
      </c>
    </row>
    <row r="13" spans="1:12" ht="20.25" customHeight="1" thickTop="1" thickBot="1" x14ac:dyDescent="0.4">
      <c r="A13" s="7"/>
      <c r="B13" s="17">
        <v>9</v>
      </c>
      <c r="C13" s="4" t="s">
        <v>40</v>
      </c>
      <c r="D13" s="4">
        <v>10</v>
      </c>
      <c r="E13" s="5">
        <v>1</v>
      </c>
      <c r="F13" s="4">
        <v>316</v>
      </c>
      <c r="G13" s="16">
        <f t="shared" si="0"/>
        <v>316</v>
      </c>
      <c r="I13" s="69" t="s">
        <v>24</v>
      </c>
      <c r="J13" s="69" t="s">
        <v>82</v>
      </c>
      <c r="K13" s="74"/>
      <c r="L13" s="70">
        <v>38</v>
      </c>
    </row>
    <row r="14" spans="1:12" ht="20.25" customHeight="1" thickTop="1" thickBot="1" x14ac:dyDescent="0.4">
      <c r="A14" s="7"/>
      <c r="B14" s="18">
        <v>10</v>
      </c>
      <c r="C14" s="4" t="s">
        <v>40</v>
      </c>
      <c r="D14" s="4">
        <v>12</v>
      </c>
      <c r="E14" s="5">
        <v>1</v>
      </c>
      <c r="F14" s="4">
        <v>328</v>
      </c>
      <c r="G14" s="16">
        <f t="shared" si="0"/>
        <v>328</v>
      </c>
      <c r="I14" s="69" t="s">
        <v>25</v>
      </c>
      <c r="J14" s="69" t="s">
        <v>83</v>
      </c>
      <c r="K14" s="74"/>
      <c r="L14" s="70">
        <v>40</v>
      </c>
    </row>
    <row r="15" spans="1:12" ht="20.25" customHeight="1" thickTop="1" thickBot="1" x14ac:dyDescent="0.4">
      <c r="A15" s="7"/>
      <c r="B15" s="17">
        <v>11</v>
      </c>
      <c r="C15" s="4" t="s">
        <v>40</v>
      </c>
      <c r="D15" s="4">
        <v>34</v>
      </c>
      <c r="E15" s="5">
        <v>1</v>
      </c>
      <c r="F15" s="4">
        <v>340</v>
      </c>
      <c r="G15" s="16">
        <f t="shared" si="0"/>
        <v>340</v>
      </c>
      <c r="I15" s="69" t="s">
        <v>28</v>
      </c>
      <c r="J15" s="69" t="s">
        <v>41</v>
      </c>
      <c r="K15" s="74"/>
      <c r="L15" s="70">
        <v>42</v>
      </c>
    </row>
    <row r="16" spans="1:12" ht="20.25" customHeight="1" thickTop="1" thickBot="1" x14ac:dyDescent="0.4">
      <c r="A16" s="7"/>
      <c r="B16" s="17">
        <v>12</v>
      </c>
      <c r="C16" s="4" t="s">
        <v>40</v>
      </c>
      <c r="D16" s="4">
        <v>36</v>
      </c>
      <c r="E16" s="5">
        <v>1</v>
      </c>
      <c r="F16" s="4">
        <v>360</v>
      </c>
      <c r="G16" s="16">
        <f t="shared" si="0"/>
        <v>360</v>
      </c>
      <c r="I16" s="69" t="s">
        <v>26</v>
      </c>
      <c r="J16" s="74"/>
      <c r="K16" s="74"/>
      <c r="L16" s="70">
        <v>44</v>
      </c>
    </row>
    <row r="17" spans="1:12" ht="20.25" customHeight="1" thickTop="1" thickBot="1" x14ac:dyDescent="0.4">
      <c r="A17" s="7"/>
      <c r="B17" s="17">
        <v>13</v>
      </c>
      <c r="C17" s="4" t="s">
        <v>40</v>
      </c>
      <c r="D17" s="4">
        <v>38</v>
      </c>
      <c r="E17" s="5">
        <v>1</v>
      </c>
      <c r="F17" s="4">
        <v>380</v>
      </c>
      <c r="G17" s="16">
        <f t="shared" si="0"/>
        <v>380</v>
      </c>
      <c r="I17" s="69" t="s">
        <v>27</v>
      </c>
      <c r="J17" s="74"/>
      <c r="K17" s="74"/>
      <c r="L17" s="74"/>
    </row>
    <row r="18" spans="1:12" ht="20.25" customHeight="1" thickTop="1" thickBot="1" x14ac:dyDescent="0.4">
      <c r="A18" s="7"/>
      <c r="B18" s="17">
        <v>14</v>
      </c>
      <c r="C18" s="4" t="s">
        <v>40</v>
      </c>
      <c r="D18" s="4">
        <v>40</v>
      </c>
      <c r="E18" s="5">
        <v>1</v>
      </c>
      <c r="F18" s="4">
        <v>400</v>
      </c>
      <c r="G18" s="16">
        <f t="shared" si="0"/>
        <v>400</v>
      </c>
      <c r="I18" s="69" t="s">
        <v>29</v>
      </c>
      <c r="J18" s="74"/>
      <c r="K18" s="74"/>
      <c r="L18" s="74"/>
    </row>
    <row r="19" spans="1:12" ht="20.25" customHeight="1" thickTop="1" x14ac:dyDescent="0.35">
      <c r="A19" s="7"/>
      <c r="B19" s="17">
        <v>15</v>
      </c>
      <c r="C19" s="4" t="s">
        <v>40</v>
      </c>
      <c r="D19" s="4">
        <v>42</v>
      </c>
      <c r="E19" s="5">
        <v>1</v>
      </c>
      <c r="F19" s="4">
        <v>420</v>
      </c>
      <c r="G19" s="16">
        <f t="shared" si="0"/>
        <v>420</v>
      </c>
    </row>
    <row r="20" spans="1:12" ht="20.25" customHeight="1" x14ac:dyDescent="0.35">
      <c r="A20" s="7"/>
      <c r="B20" s="16">
        <v>16</v>
      </c>
      <c r="C20" s="4" t="s">
        <v>82</v>
      </c>
      <c r="D20" s="4">
        <v>4</v>
      </c>
      <c r="E20" s="5">
        <v>1.5</v>
      </c>
      <c r="F20" s="4">
        <v>210</v>
      </c>
      <c r="G20" s="16">
        <f t="shared" si="0"/>
        <v>315</v>
      </c>
    </row>
    <row r="21" spans="1:12" ht="20.25" customHeight="1" x14ac:dyDescent="0.35">
      <c r="A21" s="7"/>
      <c r="B21" s="16">
        <v>17</v>
      </c>
      <c r="C21" s="4" t="s">
        <v>82</v>
      </c>
      <c r="D21" s="4">
        <v>6</v>
      </c>
      <c r="E21" s="5">
        <v>1.5</v>
      </c>
      <c r="F21" s="4">
        <v>224</v>
      </c>
      <c r="G21" s="16">
        <f t="shared" si="0"/>
        <v>336</v>
      </c>
    </row>
    <row r="22" spans="1:12" ht="20.25" customHeight="1" x14ac:dyDescent="0.35">
      <c r="A22" s="7"/>
      <c r="B22" s="17">
        <v>18</v>
      </c>
      <c r="C22" s="4" t="s">
        <v>82</v>
      </c>
      <c r="D22" s="4">
        <v>8</v>
      </c>
      <c r="E22" s="5">
        <v>1.5</v>
      </c>
      <c r="F22" s="4">
        <v>238</v>
      </c>
      <c r="G22" s="16">
        <f t="shared" si="0"/>
        <v>357</v>
      </c>
    </row>
    <row r="23" spans="1:12" ht="20.25" customHeight="1" x14ac:dyDescent="0.35">
      <c r="A23" s="7"/>
      <c r="B23" s="16">
        <v>19</v>
      </c>
      <c r="C23" s="4" t="s">
        <v>82</v>
      </c>
      <c r="D23" s="4">
        <v>10</v>
      </c>
      <c r="E23" s="5">
        <v>1</v>
      </c>
      <c r="F23" s="4">
        <v>250</v>
      </c>
      <c r="G23" s="16">
        <f t="shared" si="0"/>
        <v>250</v>
      </c>
    </row>
    <row r="24" spans="1:12" ht="20.25" customHeight="1" x14ac:dyDescent="0.35">
      <c r="A24" s="7"/>
      <c r="B24" s="9">
        <v>20</v>
      </c>
      <c r="C24" s="4" t="s">
        <v>82</v>
      </c>
      <c r="D24" s="4">
        <v>12</v>
      </c>
      <c r="E24" s="5">
        <v>1</v>
      </c>
      <c r="F24" s="4">
        <v>262</v>
      </c>
      <c r="G24" s="16">
        <f t="shared" si="0"/>
        <v>262</v>
      </c>
    </row>
    <row r="25" spans="1:12" ht="20.25" customHeight="1" x14ac:dyDescent="0.35">
      <c r="A25" s="7"/>
      <c r="B25" s="17">
        <v>21</v>
      </c>
      <c r="C25" s="4" t="s">
        <v>82</v>
      </c>
      <c r="D25" s="4">
        <v>34</v>
      </c>
      <c r="E25" s="5">
        <v>1</v>
      </c>
      <c r="F25" s="4">
        <v>274</v>
      </c>
      <c r="G25" s="16">
        <f t="shared" si="0"/>
        <v>274</v>
      </c>
    </row>
    <row r="26" spans="1:12" ht="20.25" customHeight="1" x14ac:dyDescent="0.35">
      <c r="A26" s="7"/>
      <c r="B26" s="16">
        <v>22</v>
      </c>
      <c r="C26" s="4" t="s">
        <v>82</v>
      </c>
      <c r="D26" s="4">
        <v>36</v>
      </c>
      <c r="E26" s="5">
        <v>1</v>
      </c>
      <c r="F26" s="4">
        <v>288</v>
      </c>
      <c r="G26" s="16">
        <f t="shared" si="0"/>
        <v>288</v>
      </c>
    </row>
    <row r="27" spans="1:12" ht="20.25" customHeight="1" x14ac:dyDescent="0.35">
      <c r="A27" s="7"/>
      <c r="B27" s="16">
        <v>23</v>
      </c>
      <c r="C27" s="4" t="s">
        <v>82</v>
      </c>
      <c r="D27" s="4">
        <v>38</v>
      </c>
      <c r="E27" s="5">
        <v>1</v>
      </c>
      <c r="F27" s="4">
        <v>302</v>
      </c>
      <c r="G27" s="16">
        <f t="shared" si="0"/>
        <v>302</v>
      </c>
    </row>
    <row r="28" spans="1:12" ht="20.25" customHeight="1" x14ac:dyDescent="0.35">
      <c r="A28" s="7"/>
      <c r="B28" s="16">
        <v>24</v>
      </c>
      <c r="C28" s="83" t="s">
        <v>33</v>
      </c>
      <c r="D28" s="4" t="s">
        <v>59</v>
      </c>
      <c r="E28" s="5">
        <v>1</v>
      </c>
      <c r="F28" s="4">
        <v>480</v>
      </c>
      <c r="G28" s="16">
        <f t="shared" si="0"/>
        <v>480</v>
      </c>
    </row>
    <row r="29" spans="1:12" ht="20.25" customHeight="1" x14ac:dyDescent="0.35">
      <c r="A29" s="7"/>
      <c r="B29" s="16">
        <v>25</v>
      </c>
      <c r="C29" s="84" t="s">
        <v>33</v>
      </c>
      <c r="D29" s="12" t="s">
        <v>54</v>
      </c>
      <c r="E29" s="5">
        <v>1</v>
      </c>
      <c r="F29" s="12">
        <v>510</v>
      </c>
      <c r="G29" s="16">
        <f t="shared" si="0"/>
        <v>510</v>
      </c>
    </row>
    <row r="30" spans="1:12" ht="20.25" customHeight="1" x14ac:dyDescent="0.35">
      <c r="A30" s="7"/>
      <c r="B30" s="16">
        <v>26</v>
      </c>
      <c r="C30" s="84" t="s">
        <v>33</v>
      </c>
      <c r="D30" s="12" t="s">
        <v>55</v>
      </c>
      <c r="E30" s="5">
        <v>1</v>
      </c>
      <c r="F30" s="4">
        <v>540</v>
      </c>
      <c r="G30" s="16">
        <f t="shared" si="0"/>
        <v>540</v>
      </c>
    </row>
    <row r="31" spans="1:12" ht="20.25" customHeight="1" x14ac:dyDescent="0.35">
      <c r="A31" s="7"/>
      <c r="B31" s="16">
        <v>27</v>
      </c>
      <c r="C31" s="84" t="s">
        <v>33</v>
      </c>
      <c r="D31" s="12" t="s">
        <v>56</v>
      </c>
      <c r="E31" s="5">
        <v>1</v>
      </c>
      <c r="F31" s="12">
        <v>570</v>
      </c>
      <c r="G31" s="16">
        <f t="shared" si="0"/>
        <v>570</v>
      </c>
    </row>
    <row r="32" spans="1:12" ht="20.25" customHeight="1" x14ac:dyDescent="0.35">
      <c r="A32" s="7"/>
      <c r="B32" s="16">
        <v>28</v>
      </c>
      <c r="C32" s="84" t="s">
        <v>33</v>
      </c>
      <c r="D32" s="12" t="s">
        <v>57</v>
      </c>
      <c r="E32" s="5">
        <v>1</v>
      </c>
      <c r="F32" s="4">
        <v>600</v>
      </c>
      <c r="G32" s="16">
        <f t="shared" si="0"/>
        <v>600</v>
      </c>
    </row>
    <row r="33" spans="1:7" ht="20.25" customHeight="1" x14ac:dyDescent="0.35">
      <c r="A33" s="7"/>
      <c r="B33" s="16">
        <v>29</v>
      </c>
      <c r="C33" s="84" t="s">
        <v>33</v>
      </c>
      <c r="D33" s="12" t="s">
        <v>52</v>
      </c>
      <c r="E33" s="5">
        <v>1</v>
      </c>
      <c r="F33" s="12">
        <v>640</v>
      </c>
      <c r="G33" s="16">
        <f t="shared" si="0"/>
        <v>640</v>
      </c>
    </row>
    <row r="34" spans="1:7" ht="20.25" customHeight="1" thickBot="1" x14ac:dyDescent="0.4">
      <c r="A34" s="7"/>
      <c r="B34" s="17">
        <v>30</v>
      </c>
      <c r="C34" s="84" t="s">
        <v>33</v>
      </c>
      <c r="D34" s="12" t="s">
        <v>53</v>
      </c>
      <c r="E34" s="5">
        <v>1</v>
      </c>
      <c r="F34" s="4">
        <v>680</v>
      </c>
      <c r="G34" s="16">
        <f t="shared" si="0"/>
        <v>680</v>
      </c>
    </row>
    <row r="35" spans="1:7" ht="27" customHeight="1" thickTop="1" thickBot="1" x14ac:dyDescent="0.5">
      <c r="A35" s="7"/>
      <c r="B35" s="143" t="s">
        <v>1</v>
      </c>
      <c r="C35" s="144"/>
      <c r="D35" s="144"/>
      <c r="E35" s="144"/>
      <c r="F35" s="145"/>
      <c r="G35" s="2">
        <f>SUM(G5:G34)</f>
        <v>13248</v>
      </c>
    </row>
    <row r="36" spans="1:7" ht="8.25" customHeight="1" thickTop="1" thickBot="1" x14ac:dyDescent="0.3">
      <c r="C36" s="1"/>
      <c r="D36" s="1"/>
      <c r="E36" s="1"/>
      <c r="F36" s="1"/>
      <c r="G36" s="1"/>
    </row>
    <row r="37" spans="1:7" ht="24.75" thickTop="1" thickBot="1" x14ac:dyDescent="0.4">
      <c r="C37" s="143" t="s">
        <v>7</v>
      </c>
      <c r="D37" s="145"/>
      <c r="E37" s="143"/>
      <c r="F37" s="145"/>
    </row>
    <row r="38" spans="1:7" ht="24.75" thickTop="1" thickBot="1" x14ac:dyDescent="0.4">
      <c r="C38" s="143" t="s">
        <v>12</v>
      </c>
      <c r="D38" s="145"/>
      <c r="E38" s="143"/>
      <c r="F38" s="145"/>
    </row>
    <row r="39" spans="1:7" ht="24.75" thickTop="1" thickBot="1" x14ac:dyDescent="0.4">
      <c r="C39" s="143" t="s">
        <v>8</v>
      </c>
      <c r="D39" s="145"/>
      <c r="E39" s="143">
        <f>E37+E38</f>
        <v>0</v>
      </c>
      <c r="F39" s="145"/>
    </row>
    <row r="40" spans="1:7" ht="15.75" thickTop="1" x14ac:dyDescent="0.25"/>
  </sheetData>
  <mergeCells count="10">
    <mergeCell ref="C38:D38"/>
    <mergeCell ref="E38:F38"/>
    <mergeCell ref="C39:D39"/>
    <mergeCell ref="E39:F39"/>
    <mergeCell ref="B1:G1"/>
    <mergeCell ref="B2:G2"/>
    <mergeCell ref="B3:G3"/>
    <mergeCell ref="B35:F35"/>
    <mergeCell ref="C37:D37"/>
    <mergeCell ref="E37:F3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rightToLeft="1" topLeftCell="A16" workbookViewId="0">
      <selection activeCell="C11" sqref="C11"/>
    </sheetView>
  </sheetViews>
  <sheetFormatPr defaultRowHeight="15" x14ac:dyDescent="0.25"/>
  <cols>
    <col min="1" max="1" width="2.42578125" customWidth="1"/>
    <col min="2" max="2" width="4" customWidth="1"/>
    <col min="3" max="3" width="20.85546875" customWidth="1"/>
    <col min="4" max="4" width="11" customWidth="1"/>
    <col min="5" max="5" width="10.140625" customWidth="1"/>
    <col min="6" max="6" width="12.42578125" customWidth="1"/>
    <col min="7" max="7" width="19.85546875" customWidth="1"/>
    <col min="8" max="8" width="3.7109375" customWidth="1"/>
    <col min="9" max="9" width="25" customWidth="1"/>
    <col min="10" max="10" width="22.5703125" customWidth="1"/>
  </cols>
  <sheetData>
    <row r="1" spans="1:12" ht="31.5" x14ac:dyDescent="0.55000000000000004">
      <c r="A1" s="6"/>
      <c r="B1" s="139" t="s">
        <v>79</v>
      </c>
      <c r="C1" s="139"/>
      <c r="D1" s="139"/>
      <c r="E1" s="139"/>
      <c r="F1" s="139"/>
      <c r="G1" s="139"/>
    </row>
    <row r="2" spans="1:12" ht="23.25" x14ac:dyDescent="0.35">
      <c r="A2" s="6"/>
      <c r="B2" s="148" t="s">
        <v>80</v>
      </c>
      <c r="C2" s="148"/>
      <c r="D2" s="148"/>
      <c r="E2" s="148"/>
      <c r="F2" s="148"/>
      <c r="G2" s="148"/>
    </row>
    <row r="3" spans="1:12" ht="22.5" customHeight="1" thickBot="1" x14ac:dyDescent="0.4">
      <c r="A3" s="6"/>
      <c r="B3" s="149" t="s">
        <v>71</v>
      </c>
      <c r="C3" s="149"/>
      <c r="D3" s="149"/>
      <c r="E3" s="149"/>
      <c r="F3" s="149"/>
      <c r="G3" s="149"/>
    </row>
    <row r="4" spans="1:12" ht="25.5" customHeight="1" thickTop="1" thickBot="1" x14ac:dyDescent="0.45">
      <c r="A4" s="7"/>
      <c r="B4" s="19" t="s">
        <v>5</v>
      </c>
      <c r="C4" s="68" t="s">
        <v>0</v>
      </c>
      <c r="D4" s="68" t="s">
        <v>14</v>
      </c>
      <c r="E4" s="75" t="s">
        <v>3</v>
      </c>
      <c r="F4" s="68" t="s">
        <v>75</v>
      </c>
      <c r="G4" s="75" t="s">
        <v>76</v>
      </c>
      <c r="I4" s="69" t="s">
        <v>15</v>
      </c>
      <c r="J4" s="69" t="s">
        <v>30</v>
      </c>
      <c r="K4" s="70" t="s">
        <v>59</v>
      </c>
      <c r="L4" s="70" t="s">
        <v>60</v>
      </c>
    </row>
    <row r="5" spans="1:12" ht="18" customHeight="1" thickTop="1" thickBot="1" x14ac:dyDescent="0.4">
      <c r="A5" s="7"/>
      <c r="B5" s="15">
        <v>1</v>
      </c>
      <c r="C5" s="76"/>
      <c r="D5" s="53"/>
      <c r="E5" s="55"/>
      <c r="F5" s="53"/>
      <c r="G5" s="56">
        <f>F5*E5</f>
        <v>0</v>
      </c>
      <c r="I5" s="71" t="s">
        <v>16</v>
      </c>
      <c r="J5" s="70" t="s">
        <v>31</v>
      </c>
      <c r="K5" s="70" t="s">
        <v>54</v>
      </c>
      <c r="L5" s="70">
        <v>2</v>
      </c>
    </row>
    <row r="6" spans="1:12" ht="18" customHeight="1" thickTop="1" thickBot="1" x14ac:dyDescent="0.4">
      <c r="A6" s="7"/>
      <c r="B6" s="16">
        <v>2</v>
      </c>
      <c r="C6" s="76"/>
      <c r="D6" s="53"/>
      <c r="E6" s="58"/>
      <c r="F6" s="57"/>
      <c r="G6" s="58">
        <f>F6*E6</f>
        <v>0</v>
      </c>
      <c r="I6" s="69" t="s">
        <v>17</v>
      </c>
      <c r="J6" s="69" t="s">
        <v>32</v>
      </c>
      <c r="K6" s="70" t="s">
        <v>55</v>
      </c>
      <c r="L6" s="70">
        <v>4</v>
      </c>
    </row>
    <row r="7" spans="1:12" ht="18" customHeight="1" thickTop="1" thickBot="1" x14ac:dyDescent="0.4">
      <c r="A7" s="7"/>
      <c r="B7" s="17">
        <v>3</v>
      </c>
      <c r="C7" s="76"/>
      <c r="D7" s="53"/>
      <c r="E7" s="58"/>
      <c r="F7" s="57"/>
      <c r="G7" s="58">
        <f t="shared" ref="G7:G33" si="0">F7*E7</f>
        <v>0</v>
      </c>
      <c r="I7" s="69" t="s">
        <v>18</v>
      </c>
      <c r="J7" s="72" t="s">
        <v>33</v>
      </c>
      <c r="K7" s="70" t="s">
        <v>56</v>
      </c>
      <c r="L7" s="70">
        <v>6</v>
      </c>
    </row>
    <row r="8" spans="1:12" ht="18" customHeight="1" thickTop="1" thickBot="1" x14ac:dyDescent="0.4">
      <c r="A8" s="7"/>
      <c r="B8" s="18">
        <v>4</v>
      </c>
      <c r="C8" s="76"/>
      <c r="D8" s="53"/>
      <c r="E8" s="58"/>
      <c r="F8" s="57"/>
      <c r="G8" s="58">
        <f t="shared" si="0"/>
        <v>0</v>
      </c>
      <c r="I8" s="69" t="s">
        <v>19</v>
      </c>
      <c r="J8" s="69" t="s">
        <v>34</v>
      </c>
      <c r="K8" s="70" t="s">
        <v>57</v>
      </c>
      <c r="L8" s="70">
        <v>8</v>
      </c>
    </row>
    <row r="9" spans="1:12" ht="18" customHeight="1" thickTop="1" thickBot="1" x14ac:dyDescent="0.4">
      <c r="A9" s="7"/>
      <c r="B9" s="18">
        <v>5</v>
      </c>
      <c r="C9" s="76"/>
      <c r="D9" s="53"/>
      <c r="E9" s="58"/>
      <c r="F9" s="57"/>
      <c r="G9" s="58">
        <f t="shared" si="0"/>
        <v>0</v>
      </c>
      <c r="I9" s="69" t="s">
        <v>20</v>
      </c>
      <c r="J9" s="69" t="s">
        <v>35</v>
      </c>
      <c r="K9" s="73" t="s">
        <v>52</v>
      </c>
      <c r="L9" s="70">
        <v>10</v>
      </c>
    </row>
    <row r="10" spans="1:12" ht="18" customHeight="1" thickTop="1" thickBot="1" x14ac:dyDescent="0.4">
      <c r="A10" s="7"/>
      <c r="B10" s="16">
        <v>6</v>
      </c>
      <c r="C10" s="76"/>
      <c r="D10" s="53"/>
      <c r="E10" s="58"/>
      <c r="F10" s="57"/>
      <c r="G10" s="58">
        <f t="shared" si="0"/>
        <v>0</v>
      </c>
      <c r="I10" s="69" t="s">
        <v>21</v>
      </c>
      <c r="J10" s="69" t="s">
        <v>36</v>
      </c>
      <c r="K10" s="73" t="s">
        <v>53</v>
      </c>
      <c r="L10" s="70">
        <v>12</v>
      </c>
    </row>
    <row r="11" spans="1:12" ht="18" customHeight="1" thickTop="1" thickBot="1" x14ac:dyDescent="0.4">
      <c r="A11" s="7"/>
      <c r="B11" s="17">
        <v>7</v>
      </c>
      <c r="C11" s="79"/>
      <c r="D11" s="57"/>
      <c r="E11" s="58"/>
      <c r="F11" s="57"/>
      <c r="G11" s="58">
        <f t="shared" si="0"/>
        <v>0</v>
      </c>
      <c r="I11" s="69" t="s">
        <v>22</v>
      </c>
      <c r="J11" s="69" t="s">
        <v>37</v>
      </c>
      <c r="K11" s="73" t="s">
        <v>61</v>
      </c>
      <c r="L11" s="70">
        <v>34</v>
      </c>
    </row>
    <row r="12" spans="1:12" ht="18" customHeight="1" thickTop="1" thickBot="1" x14ac:dyDescent="0.4">
      <c r="A12" s="7"/>
      <c r="B12" s="16">
        <v>8</v>
      </c>
      <c r="C12" s="79"/>
      <c r="D12" s="57"/>
      <c r="E12" s="58"/>
      <c r="F12" s="57"/>
      <c r="G12" s="58">
        <f t="shared" si="0"/>
        <v>0</v>
      </c>
      <c r="I12" s="69" t="s">
        <v>23</v>
      </c>
      <c r="J12" s="69" t="s">
        <v>38</v>
      </c>
      <c r="K12" s="73" t="s">
        <v>62</v>
      </c>
      <c r="L12" s="70">
        <v>36</v>
      </c>
    </row>
    <row r="13" spans="1:12" ht="18" customHeight="1" thickTop="1" thickBot="1" x14ac:dyDescent="0.4">
      <c r="A13" s="7"/>
      <c r="B13" s="17">
        <v>9</v>
      </c>
      <c r="C13" s="79"/>
      <c r="D13" s="57"/>
      <c r="E13" s="58"/>
      <c r="F13" s="57"/>
      <c r="G13" s="58">
        <f t="shared" si="0"/>
        <v>0</v>
      </c>
      <c r="I13" s="69" t="s">
        <v>24</v>
      </c>
      <c r="J13" s="69" t="s">
        <v>39</v>
      </c>
      <c r="K13" s="74"/>
      <c r="L13" s="70">
        <v>38</v>
      </c>
    </row>
    <row r="14" spans="1:12" ht="18" customHeight="1" thickTop="1" thickBot="1" x14ac:dyDescent="0.4">
      <c r="A14" s="7"/>
      <c r="B14" s="18">
        <v>10</v>
      </c>
      <c r="C14" s="79"/>
      <c r="D14" s="57"/>
      <c r="E14" s="58"/>
      <c r="F14" s="57"/>
      <c r="G14" s="58">
        <f t="shared" si="0"/>
        <v>0</v>
      </c>
      <c r="I14" s="69" t="s">
        <v>25</v>
      </c>
      <c r="J14" s="69" t="s">
        <v>40</v>
      </c>
      <c r="K14" s="74"/>
      <c r="L14" s="70">
        <v>40</v>
      </c>
    </row>
    <row r="15" spans="1:12" ht="18" customHeight="1" thickTop="1" thickBot="1" x14ac:dyDescent="0.4">
      <c r="A15" s="7"/>
      <c r="B15" s="17">
        <v>11</v>
      </c>
      <c r="C15" s="79"/>
      <c r="D15" s="57"/>
      <c r="E15" s="58"/>
      <c r="F15" s="57"/>
      <c r="G15" s="58">
        <f t="shared" si="0"/>
        <v>0</v>
      </c>
      <c r="I15" s="69" t="s">
        <v>28</v>
      </c>
      <c r="J15" s="69" t="s">
        <v>41</v>
      </c>
      <c r="K15" s="74"/>
      <c r="L15" s="70">
        <v>42</v>
      </c>
    </row>
    <row r="16" spans="1:12" ht="18" customHeight="1" thickTop="1" thickBot="1" x14ac:dyDescent="0.4">
      <c r="A16" s="7"/>
      <c r="B16" s="17">
        <v>12</v>
      </c>
      <c r="C16" s="79"/>
      <c r="D16" s="57"/>
      <c r="E16" s="58"/>
      <c r="F16" s="57"/>
      <c r="G16" s="58">
        <f t="shared" si="0"/>
        <v>0</v>
      </c>
      <c r="I16" s="69" t="s">
        <v>26</v>
      </c>
      <c r="J16" s="74"/>
      <c r="K16" s="74"/>
      <c r="L16" s="70">
        <v>44</v>
      </c>
    </row>
    <row r="17" spans="1:12" ht="18" customHeight="1" thickTop="1" thickBot="1" x14ac:dyDescent="0.4">
      <c r="A17" s="7"/>
      <c r="B17" s="17">
        <v>13</v>
      </c>
      <c r="C17" s="79"/>
      <c r="D17" s="57"/>
      <c r="E17" s="58"/>
      <c r="F17" s="57"/>
      <c r="G17" s="58">
        <f t="shared" si="0"/>
        <v>0</v>
      </c>
      <c r="I17" s="69" t="s">
        <v>27</v>
      </c>
      <c r="J17" s="74"/>
      <c r="K17" s="74"/>
      <c r="L17" s="74"/>
    </row>
    <row r="18" spans="1:12" ht="18" customHeight="1" thickTop="1" thickBot="1" x14ac:dyDescent="0.4">
      <c r="A18" s="7"/>
      <c r="B18" s="17">
        <v>14</v>
      </c>
      <c r="C18" s="79"/>
      <c r="D18" s="57"/>
      <c r="E18" s="58"/>
      <c r="F18" s="57"/>
      <c r="G18" s="58">
        <f t="shared" si="0"/>
        <v>0</v>
      </c>
      <c r="I18" s="69" t="s">
        <v>29</v>
      </c>
      <c r="J18" s="74"/>
      <c r="K18" s="74"/>
      <c r="L18" s="74"/>
    </row>
    <row r="19" spans="1:12" ht="18" customHeight="1" thickTop="1" x14ac:dyDescent="0.3">
      <c r="A19" s="7"/>
      <c r="B19" s="17">
        <v>15</v>
      </c>
      <c r="C19" s="79"/>
      <c r="D19" s="57"/>
      <c r="E19" s="58"/>
      <c r="F19" s="57"/>
      <c r="G19" s="58">
        <f t="shared" si="0"/>
        <v>0</v>
      </c>
    </row>
    <row r="20" spans="1:12" ht="18" customHeight="1" x14ac:dyDescent="0.3">
      <c r="A20" s="7"/>
      <c r="B20" s="16">
        <v>16</v>
      </c>
      <c r="C20" s="79"/>
      <c r="D20" s="57"/>
      <c r="E20" s="58"/>
      <c r="F20" s="57"/>
      <c r="G20" s="58">
        <f t="shared" si="0"/>
        <v>0</v>
      </c>
    </row>
    <row r="21" spans="1:12" ht="18" customHeight="1" x14ac:dyDescent="0.3">
      <c r="A21" s="7"/>
      <c r="B21" s="16">
        <v>17</v>
      </c>
      <c r="C21" s="79"/>
      <c r="D21" s="57"/>
      <c r="E21" s="58"/>
      <c r="F21" s="57"/>
      <c r="G21" s="58">
        <f t="shared" si="0"/>
        <v>0</v>
      </c>
    </row>
    <row r="22" spans="1:12" ht="18" customHeight="1" x14ac:dyDescent="0.3">
      <c r="A22" s="7"/>
      <c r="B22" s="17">
        <v>18</v>
      </c>
      <c r="C22" s="79"/>
      <c r="D22" s="57"/>
      <c r="E22" s="58"/>
      <c r="F22" s="57"/>
      <c r="G22" s="58">
        <f t="shared" si="0"/>
        <v>0</v>
      </c>
    </row>
    <row r="23" spans="1:12" ht="18" customHeight="1" x14ac:dyDescent="0.3">
      <c r="A23" s="7"/>
      <c r="B23" s="16">
        <v>19</v>
      </c>
      <c r="C23" s="79"/>
      <c r="D23" s="57"/>
      <c r="E23" s="58"/>
      <c r="F23" s="57"/>
      <c r="G23" s="58">
        <f t="shared" si="0"/>
        <v>0</v>
      </c>
    </row>
    <row r="24" spans="1:12" ht="18" customHeight="1" x14ac:dyDescent="0.3">
      <c r="A24" s="7"/>
      <c r="B24" s="9">
        <v>20</v>
      </c>
      <c r="C24" s="79"/>
      <c r="D24" s="57"/>
      <c r="E24" s="58"/>
      <c r="F24" s="57"/>
      <c r="G24" s="58">
        <f t="shared" si="0"/>
        <v>0</v>
      </c>
    </row>
    <row r="25" spans="1:12" ht="18" customHeight="1" x14ac:dyDescent="0.3">
      <c r="A25" s="7"/>
      <c r="B25" s="17">
        <v>21</v>
      </c>
      <c r="C25" s="79"/>
      <c r="D25" s="57"/>
      <c r="E25" s="58"/>
      <c r="F25" s="57"/>
      <c r="G25" s="58">
        <f t="shared" si="0"/>
        <v>0</v>
      </c>
    </row>
    <row r="26" spans="1:12" ht="18" customHeight="1" x14ac:dyDescent="0.3">
      <c r="A26" s="7"/>
      <c r="B26" s="16">
        <v>22</v>
      </c>
      <c r="C26" s="79"/>
      <c r="D26" s="57"/>
      <c r="E26" s="58"/>
      <c r="F26" s="57"/>
      <c r="G26" s="58">
        <f t="shared" si="0"/>
        <v>0</v>
      </c>
    </row>
    <row r="27" spans="1:12" ht="18" customHeight="1" x14ac:dyDescent="0.3">
      <c r="A27" s="7"/>
      <c r="B27" s="16">
        <v>23</v>
      </c>
      <c r="C27" s="79"/>
      <c r="D27" s="57"/>
      <c r="E27" s="58"/>
      <c r="F27" s="57"/>
      <c r="G27" s="58">
        <f t="shared" si="0"/>
        <v>0</v>
      </c>
    </row>
    <row r="28" spans="1:12" ht="18" customHeight="1" x14ac:dyDescent="0.3">
      <c r="A28" s="7"/>
      <c r="B28" s="16">
        <v>24</v>
      </c>
      <c r="C28" s="79"/>
      <c r="D28" s="57"/>
      <c r="E28" s="58"/>
      <c r="F28" s="57"/>
      <c r="G28" s="58">
        <f t="shared" si="0"/>
        <v>0</v>
      </c>
    </row>
    <row r="29" spans="1:12" ht="18" customHeight="1" x14ac:dyDescent="0.3">
      <c r="A29" s="7"/>
      <c r="B29" s="16">
        <v>25</v>
      </c>
      <c r="C29" s="80"/>
      <c r="D29" s="81"/>
      <c r="E29" s="58"/>
      <c r="F29" s="57"/>
      <c r="G29" s="58">
        <f t="shared" si="0"/>
        <v>0</v>
      </c>
    </row>
    <row r="30" spans="1:12" ht="18" customHeight="1" x14ac:dyDescent="0.3">
      <c r="A30" s="7"/>
      <c r="B30" s="16">
        <v>26</v>
      </c>
      <c r="C30" s="80"/>
      <c r="D30" s="81"/>
      <c r="E30" s="58"/>
      <c r="F30" s="57"/>
      <c r="G30" s="58">
        <f t="shared" si="0"/>
        <v>0</v>
      </c>
    </row>
    <row r="31" spans="1:12" ht="18" customHeight="1" x14ac:dyDescent="0.3">
      <c r="A31" s="7"/>
      <c r="B31" s="16">
        <v>27</v>
      </c>
      <c r="C31" s="82"/>
      <c r="D31" s="81"/>
      <c r="E31" s="58"/>
      <c r="F31" s="81"/>
      <c r="G31" s="58">
        <f t="shared" si="0"/>
        <v>0</v>
      </c>
    </row>
    <row r="32" spans="1:12" ht="18" customHeight="1" x14ac:dyDescent="0.3">
      <c r="A32" s="7"/>
      <c r="B32" s="16">
        <v>28</v>
      </c>
      <c r="C32" s="82"/>
      <c r="D32" s="81"/>
      <c r="E32" s="59"/>
      <c r="F32" s="81"/>
      <c r="G32" s="58">
        <f t="shared" si="0"/>
        <v>0</v>
      </c>
    </row>
    <row r="33" spans="1:7" ht="24" thickBot="1" x14ac:dyDescent="0.35">
      <c r="A33" s="7"/>
      <c r="B33" s="16">
        <v>29</v>
      </c>
      <c r="C33" s="82"/>
      <c r="D33" s="81"/>
      <c r="E33" s="59"/>
      <c r="F33" s="81"/>
      <c r="G33" s="58">
        <f t="shared" si="0"/>
        <v>0</v>
      </c>
    </row>
    <row r="34" spans="1:7" ht="30" thickTop="1" thickBot="1" x14ac:dyDescent="0.5">
      <c r="A34" s="7"/>
      <c r="B34" s="143" t="s">
        <v>1</v>
      </c>
      <c r="C34" s="144"/>
      <c r="D34" s="144"/>
      <c r="E34" s="144"/>
      <c r="F34" s="145"/>
      <c r="G34" s="2">
        <f>SUM(G5:G33)</f>
        <v>0</v>
      </c>
    </row>
    <row r="35" spans="1:7" ht="16.5" thickTop="1" thickBot="1" x14ac:dyDescent="0.3">
      <c r="C35" s="1"/>
      <c r="D35" s="1"/>
      <c r="E35" s="1"/>
      <c r="F35" s="1"/>
      <c r="G35" s="1"/>
    </row>
    <row r="36" spans="1:7" ht="24.75" thickTop="1" thickBot="1" x14ac:dyDescent="0.4">
      <c r="C36" s="143" t="s">
        <v>7</v>
      </c>
      <c r="D36" s="145"/>
      <c r="E36" s="143"/>
      <c r="F36" s="145"/>
    </row>
    <row r="37" spans="1:7" ht="24.75" thickTop="1" thickBot="1" x14ac:dyDescent="0.4">
      <c r="C37" s="143" t="s">
        <v>81</v>
      </c>
      <c r="D37" s="145"/>
      <c r="E37" s="143"/>
      <c r="F37" s="145"/>
    </row>
    <row r="38" spans="1:7" ht="24.75" thickTop="1" thickBot="1" x14ac:dyDescent="0.4">
      <c r="C38" s="143" t="s">
        <v>8</v>
      </c>
      <c r="D38" s="145"/>
      <c r="E38" s="143">
        <f>E36+E37</f>
        <v>0</v>
      </c>
      <c r="F38" s="145"/>
    </row>
    <row r="39" spans="1:7" ht="15.75" thickTop="1" x14ac:dyDescent="0.25"/>
  </sheetData>
  <mergeCells count="10">
    <mergeCell ref="C37:D37"/>
    <mergeCell ref="E37:F37"/>
    <mergeCell ref="C38:D38"/>
    <mergeCell ref="E38:F38"/>
    <mergeCell ref="B1:G1"/>
    <mergeCell ref="B2:G2"/>
    <mergeCell ref="B3:G3"/>
    <mergeCell ref="B34:F34"/>
    <mergeCell ref="C36:D36"/>
    <mergeCell ref="E36:F36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rightToLeft="1" topLeftCell="A16" workbookViewId="0">
      <selection activeCell="C11" sqref="C11"/>
    </sheetView>
  </sheetViews>
  <sheetFormatPr defaultRowHeight="15" x14ac:dyDescent="0.25"/>
  <cols>
    <col min="1" max="1" width="2.42578125" customWidth="1"/>
    <col min="2" max="2" width="4" customWidth="1"/>
    <col min="3" max="3" width="20.85546875" customWidth="1"/>
    <col min="4" max="4" width="11" customWidth="1"/>
    <col min="5" max="5" width="10.140625" customWidth="1"/>
    <col min="6" max="6" width="12.42578125" customWidth="1"/>
    <col min="7" max="7" width="19.85546875" customWidth="1"/>
    <col min="8" max="8" width="3.7109375" customWidth="1"/>
    <col min="9" max="9" width="25" customWidth="1"/>
    <col min="10" max="10" width="22.5703125" customWidth="1"/>
  </cols>
  <sheetData>
    <row r="1" spans="1:12" ht="31.5" x14ac:dyDescent="0.55000000000000004">
      <c r="A1" s="6"/>
      <c r="B1" s="139" t="s">
        <v>72</v>
      </c>
      <c r="C1" s="139"/>
      <c r="D1" s="139"/>
      <c r="E1" s="139"/>
      <c r="F1" s="139"/>
      <c r="G1" s="139"/>
    </row>
    <row r="2" spans="1:12" ht="23.25" x14ac:dyDescent="0.35">
      <c r="A2" s="6"/>
      <c r="B2" s="148" t="s">
        <v>73</v>
      </c>
      <c r="C2" s="148"/>
      <c r="D2" s="148"/>
      <c r="E2" s="148"/>
      <c r="F2" s="148"/>
      <c r="G2" s="148"/>
    </row>
    <row r="3" spans="1:12" ht="24.75" customHeight="1" thickBot="1" x14ac:dyDescent="0.4">
      <c r="A3" s="6"/>
      <c r="B3" s="149" t="s">
        <v>74</v>
      </c>
      <c r="C3" s="149"/>
      <c r="D3" s="149"/>
      <c r="E3" s="149"/>
      <c r="F3" s="149"/>
      <c r="G3" s="149"/>
    </row>
    <row r="4" spans="1:12" ht="25.5" customHeight="1" thickTop="1" thickBot="1" x14ac:dyDescent="0.45">
      <c r="A4" s="7"/>
      <c r="B4" s="19" t="s">
        <v>5</v>
      </c>
      <c r="C4" s="68" t="s">
        <v>0</v>
      </c>
      <c r="D4" s="68" t="s">
        <v>14</v>
      </c>
      <c r="E4" s="75" t="s">
        <v>3</v>
      </c>
      <c r="F4" s="68" t="s">
        <v>75</v>
      </c>
      <c r="G4" s="75" t="s">
        <v>76</v>
      </c>
      <c r="I4" s="69" t="s">
        <v>15</v>
      </c>
      <c r="J4" s="69" t="s">
        <v>30</v>
      </c>
      <c r="K4" s="70" t="s">
        <v>59</v>
      </c>
      <c r="L4" s="70" t="s">
        <v>60</v>
      </c>
    </row>
    <row r="5" spans="1:12" ht="18.75" customHeight="1" thickTop="1" thickBot="1" x14ac:dyDescent="0.4">
      <c r="A5" s="7"/>
      <c r="B5" s="15">
        <v>1</v>
      </c>
      <c r="C5" s="76" t="s">
        <v>23</v>
      </c>
      <c r="D5" s="53">
        <v>6</v>
      </c>
      <c r="E5" s="55">
        <v>1.5</v>
      </c>
      <c r="F5" s="53">
        <v>316</v>
      </c>
      <c r="G5" s="77">
        <f>F5*E5</f>
        <v>474</v>
      </c>
      <c r="I5" s="71" t="s">
        <v>16</v>
      </c>
      <c r="J5" s="70" t="s">
        <v>31</v>
      </c>
      <c r="K5" s="70" t="s">
        <v>54</v>
      </c>
      <c r="L5" s="70">
        <v>2</v>
      </c>
    </row>
    <row r="6" spans="1:12" ht="18.75" customHeight="1" thickTop="1" thickBot="1" x14ac:dyDescent="0.4">
      <c r="A6" s="7"/>
      <c r="B6" s="16">
        <v>2</v>
      </c>
      <c r="C6" s="76" t="s">
        <v>23</v>
      </c>
      <c r="D6" s="53">
        <v>8</v>
      </c>
      <c r="E6" s="55">
        <v>1</v>
      </c>
      <c r="F6" s="57">
        <v>330</v>
      </c>
      <c r="G6" s="78">
        <f>F6*E6</f>
        <v>330</v>
      </c>
      <c r="I6" s="69" t="s">
        <v>17</v>
      </c>
      <c r="J6" s="69" t="s">
        <v>32</v>
      </c>
      <c r="K6" s="70" t="s">
        <v>55</v>
      </c>
      <c r="L6" s="70">
        <v>4</v>
      </c>
    </row>
    <row r="7" spans="1:12" ht="18.75" customHeight="1" thickTop="1" thickBot="1" x14ac:dyDescent="0.4">
      <c r="A7" s="7"/>
      <c r="B7" s="17">
        <v>3</v>
      </c>
      <c r="C7" s="76" t="s">
        <v>23</v>
      </c>
      <c r="D7" s="53">
        <v>10</v>
      </c>
      <c r="E7" s="55">
        <v>1</v>
      </c>
      <c r="F7" s="57">
        <v>344</v>
      </c>
      <c r="G7" s="78">
        <f t="shared" ref="G7:G32" si="0">F7*E7</f>
        <v>344</v>
      </c>
      <c r="I7" s="69" t="s">
        <v>18</v>
      </c>
      <c r="J7" s="72" t="s">
        <v>33</v>
      </c>
      <c r="K7" s="70" t="s">
        <v>56</v>
      </c>
      <c r="L7" s="70">
        <v>6</v>
      </c>
    </row>
    <row r="8" spans="1:12" ht="18.75" customHeight="1" thickTop="1" thickBot="1" x14ac:dyDescent="0.4">
      <c r="A8" s="7"/>
      <c r="B8" s="18">
        <v>4</v>
      </c>
      <c r="C8" s="76" t="s">
        <v>23</v>
      </c>
      <c r="D8" s="53">
        <v>12</v>
      </c>
      <c r="E8" s="55">
        <v>1</v>
      </c>
      <c r="F8" s="57">
        <v>370</v>
      </c>
      <c r="G8" s="78">
        <f t="shared" si="0"/>
        <v>370</v>
      </c>
      <c r="I8" s="69" t="s">
        <v>19</v>
      </c>
      <c r="J8" s="69" t="s">
        <v>34</v>
      </c>
      <c r="K8" s="70" t="s">
        <v>57</v>
      </c>
      <c r="L8" s="70">
        <v>8</v>
      </c>
    </row>
    <row r="9" spans="1:12" ht="18.75" customHeight="1" thickTop="1" thickBot="1" x14ac:dyDescent="0.4">
      <c r="A9" s="7"/>
      <c r="B9" s="18">
        <v>5</v>
      </c>
      <c r="C9" s="76" t="s">
        <v>23</v>
      </c>
      <c r="D9" s="53">
        <v>34</v>
      </c>
      <c r="E9" s="55">
        <v>1</v>
      </c>
      <c r="F9" s="57">
        <v>390</v>
      </c>
      <c r="G9" s="78">
        <f t="shared" si="0"/>
        <v>390</v>
      </c>
      <c r="I9" s="69" t="s">
        <v>20</v>
      </c>
      <c r="J9" s="69" t="s">
        <v>35</v>
      </c>
      <c r="K9" s="73" t="s">
        <v>52</v>
      </c>
      <c r="L9" s="70">
        <v>10</v>
      </c>
    </row>
    <row r="10" spans="1:12" ht="18.75" customHeight="1" thickTop="1" thickBot="1" x14ac:dyDescent="0.4">
      <c r="A10" s="7"/>
      <c r="B10" s="16">
        <v>6</v>
      </c>
      <c r="C10" s="76" t="s">
        <v>23</v>
      </c>
      <c r="D10" s="53">
        <v>36</v>
      </c>
      <c r="E10" s="55">
        <v>1</v>
      </c>
      <c r="F10" s="57">
        <v>410</v>
      </c>
      <c r="G10" s="78">
        <f t="shared" si="0"/>
        <v>410</v>
      </c>
      <c r="I10" s="69" t="s">
        <v>21</v>
      </c>
      <c r="J10" s="69" t="s">
        <v>36</v>
      </c>
      <c r="K10" s="73" t="s">
        <v>53</v>
      </c>
      <c r="L10" s="70">
        <v>12</v>
      </c>
    </row>
    <row r="11" spans="1:12" ht="18.75" customHeight="1" thickTop="1" thickBot="1" x14ac:dyDescent="0.4">
      <c r="A11" s="7"/>
      <c r="B11" s="17">
        <v>7</v>
      </c>
      <c r="C11" s="79" t="s">
        <v>23</v>
      </c>
      <c r="D11" s="57">
        <v>38</v>
      </c>
      <c r="E11" s="55">
        <v>1</v>
      </c>
      <c r="F11" s="57">
        <v>430</v>
      </c>
      <c r="G11" s="78">
        <f t="shared" si="0"/>
        <v>430</v>
      </c>
      <c r="I11" s="69" t="s">
        <v>22</v>
      </c>
      <c r="J11" s="69" t="s">
        <v>37</v>
      </c>
      <c r="K11" s="73" t="s">
        <v>61</v>
      </c>
      <c r="L11" s="70">
        <v>34</v>
      </c>
    </row>
    <row r="12" spans="1:12" ht="18.75" customHeight="1" thickTop="1" thickBot="1" x14ac:dyDescent="0.4">
      <c r="A12" s="7"/>
      <c r="B12" s="16">
        <v>8</v>
      </c>
      <c r="C12" s="79" t="s">
        <v>23</v>
      </c>
      <c r="D12" s="57">
        <v>40</v>
      </c>
      <c r="E12" s="55">
        <v>1</v>
      </c>
      <c r="F12" s="57">
        <v>450</v>
      </c>
      <c r="G12" s="78">
        <f t="shared" si="0"/>
        <v>450</v>
      </c>
      <c r="I12" s="69" t="s">
        <v>23</v>
      </c>
      <c r="J12" s="69" t="s">
        <v>38</v>
      </c>
      <c r="K12" s="73" t="s">
        <v>62</v>
      </c>
      <c r="L12" s="70">
        <v>36</v>
      </c>
    </row>
    <row r="13" spans="1:12" ht="18.75" customHeight="1" thickTop="1" thickBot="1" x14ac:dyDescent="0.4">
      <c r="A13" s="7"/>
      <c r="B13" s="17">
        <v>9</v>
      </c>
      <c r="C13" s="79" t="s">
        <v>23</v>
      </c>
      <c r="D13" s="57">
        <v>42</v>
      </c>
      <c r="E13" s="55">
        <v>1</v>
      </c>
      <c r="F13" s="57">
        <v>470</v>
      </c>
      <c r="G13" s="78">
        <f t="shared" si="0"/>
        <v>470</v>
      </c>
      <c r="I13" s="69" t="s">
        <v>24</v>
      </c>
      <c r="J13" s="69" t="s">
        <v>39</v>
      </c>
      <c r="K13" s="74"/>
      <c r="L13" s="70">
        <v>38</v>
      </c>
    </row>
    <row r="14" spans="1:12" ht="18.75" customHeight="1" thickTop="1" thickBot="1" x14ac:dyDescent="0.4">
      <c r="A14" s="7"/>
      <c r="B14" s="18">
        <v>10</v>
      </c>
      <c r="C14" s="79" t="s">
        <v>25</v>
      </c>
      <c r="D14" s="57">
        <v>6</v>
      </c>
      <c r="E14" s="55">
        <v>1.5</v>
      </c>
      <c r="F14" s="57">
        <v>346</v>
      </c>
      <c r="G14" s="78">
        <f t="shared" si="0"/>
        <v>519</v>
      </c>
      <c r="I14" s="69" t="s">
        <v>25</v>
      </c>
      <c r="J14" s="69" t="s">
        <v>40</v>
      </c>
      <c r="K14" s="74"/>
      <c r="L14" s="70">
        <v>40</v>
      </c>
    </row>
    <row r="15" spans="1:12" ht="18.75" customHeight="1" thickTop="1" thickBot="1" x14ac:dyDescent="0.4">
      <c r="A15" s="7"/>
      <c r="B15" s="17">
        <v>11</v>
      </c>
      <c r="C15" s="79" t="s">
        <v>25</v>
      </c>
      <c r="D15" s="57">
        <v>8</v>
      </c>
      <c r="E15" s="55">
        <v>1.5</v>
      </c>
      <c r="F15" s="57">
        <v>376</v>
      </c>
      <c r="G15" s="78">
        <f t="shared" si="0"/>
        <v>564</v>
      </c>
      <c r="I15" s="69" t="s">
        <v>28</v>
      </c>
      <c r="J15" s="69" t="s">
        <v>41</v>
      </c>
      <c r="K15" s="74"/>
      <c r="L15" s="70">
        <v>42</v>
      </c>
    </row>
    <row r="16" spans="1:12" ht="18.75" customHeight="1" thickTop="1" thickBot="1" x14ac:dyDescent="0.4">
      <c r="A16" s="7"/>
      <c r="B16" s="17">
        <v>12</v>
      </c>
      <c r="C16" s="79" t="s">
        <v>25</v>
      </c>
      <c r="D16" s="57">
        <v>12</v>
      </c>
      <c r="E16" s="55">
        <v>1</v>
      </c>
      <c r="F16" s="57">
        <v>416</v>
      </c>
      <c r="G16" s="78">
        <f t="shared" si="0"/>
        <v>416</v>
      </c>
      <c r="I16" s="69" t="s">
        <v>26</v>
      </c>
      <c r="J16" s="74"/>
      <c r="K16" s="74"/>
      <c r="L16" s="70">
        <v>44</v>
      </c>
    </row>
    <row r="17" spans="1:12" ht="18.75" customHeight="1" thickTop="1" thickBot="1" x14ac:dyDescent="0.4">
      <c r="A17" s="7"/>
      <c r="B17" s="17">
        <v>13</v>
      </c>
      <c r="C17" s="79" t="s">
        <v>25</v>
      </c>
      <c r="D17" s="57">
        <v>34</v>
      </c>
      <c r="E17" s="55">
        <v>1</v>
      </c>
      <c r="F17" s="57">
        <v>440</v>
      </c>
      <c r="G17" s="78">
        <f t="shared" si="0"/>
        <v>440</v>
      </c>
      <c r="I17" s="69" t="s">
        <v>27</v>
      </c>
      <c r="J17" s="74"/>
      <c r="K17" s="74"/>
      <c r="L17" s="74"/>
    </row>
    <row r="18" spans="1:12" ht="18.75" customHeight="1" thickTop="1" thickBot="1" x14ac:dyDescent="0.4">
      <c r="A18" s="7"/>
      <c r="B18" s="17">
        <v>14</v>
      </c>
      <c r="C18" s="79" t="s">
        <v>25</v>
      </c>
      <c r="D18" s="57">
        <v>36</v>
      </c>
      <c r="E18" s="55">
        <v>1</v>
      </c>
      <c r="F18" s="57">
        <v>464</v>
      </c>
      <c r="G18" s="78">
        <f t="shared" si="0"/>
        <v>464</v>
      </c>
      <c r="I18" s="69" t="s">
        <v>29</v>
      </c>
      <c r="J18" s="74"/>
      <c r="K18" s="74"/>
      <c r="L18" s="74"/>
    </row>
    <row r="19" spans="1:12" ht="18.75" customHeight="1" thickTop="1" x14ac:dyDescent="0.3">
      <c r="A19" s="7"/>
      <c r="B19" s="17">
        <v>15</v>
      </c>
      <c r="C19" s="79" t="s">
        <v>25</v>
      </c>
      <c r="D19" s="57">
        <v>38</v>
      </c>
      <c r="E19" s="55">
        <v>1</v>
      </c>
      <c r="F19" s="57">
        <v>488</v>
      </c>
      <c r="G19" s="78">
        <f t="shared" si="0"/>
        <v>488</v>
      </c>
    </row>
    <row r="20" spans="1:12" ht="18.75" customHeight="1" x14ac:dyDescent="0.3">
      <c r="A20" s="7"/>
      <c r="B20" s="16">
        <v>16</v>
      </c>
      <c r="C20" s="79" t="s">
        <v>25</v>
      </c>
      <c r="D20" s="57">
        <v>40</v>
      </c>
      <c r="E20" s="55">
        <v>1</v>
      </c>
      <c r="F20" s="57">
        <v>512</v>
      </c>
      <c r="G20" s="78">
        <f t="shared" si="0"/>
        <v>512</v>
      </c>
    </row>
    <row r="21" spans="1:12" ht="18.75" customHeight="1" x14ac:dyDescent="0.3">
      <c r="A21" s="7"/>
      <c r="B21" s="16">
        <v>17</v>
      </c>
      <c r="C21" s="79" t="s">
        <v>25</v>
      </c>
      <c r="D21" s="57">
        <v>42</v>
      </c>
      <c r="E21" s="55">
        <v>1</v>
      </c>
      <c r="F21" s="57">
        <v>536</v>
      </c>
      <c r="G21" s="78">
        <f t="shared" si="0"/>
        <v>536</v>
      </c>
    </row>
    <row r="22" spans="1:12" ht="18.75" customHeight="1" x14ac:dyDescent="0.3">
      <c r="A22" s="7"/>
      <c r="B22" s="17">
        <v>18</v>
      </c>
      <c r="C22" s="79" t="s">
        <v>24</v>
      </c>
      <c r="D22" s="57">
        <v>34</v>
      </c>
      <c r="E22" s="55">
        <v>1</v>
      </c>
      <c r="F22" s="57">
        <v>410</v>
      </c>
      <c r="G22" s="78">
        <f t="shared" si="0"/>
        <v>410</v>
      </c>
    </row>
    <row r="23" spans="1:12" ht="18.75" customHeight="1" x14ac:dyDescent="0.3">
      <c r="A23" s="7"/>
      <c r="B23" s="16">
        <v>19</v>
      </c>
      <c r="C23" s="79" t="s">
        <v>24</v>
      </c>
      <c r="D23" s="57">
        <v>36</v>
      </c>
      <c r="E23" s="55">
        <v>1</v>
      </c>
      <c r="F23" s="57">
        <v>434</v>
      </c>
      <c r="G23" s="78">
        <f t="shared" si="0"/>
        <v>434</v>
      </c>
    </row>
    <row r="24" spans="1:12" ht="18.75" customHeight="1" x14ac:dyDescent="0.3">
      <c r="A24" s="7"/>
      <c r="B24" s="9">
        <v>20</v>
      </c>
      <c r="C24" s="79" t="s">
        <v>24</v>
      </c>
      <c r="D24" s="57">
        <v>38</v>
      </c>
      <c r="E24" s="55">
        <v>1</v>
      </c>
      <c r="F24" s="57">
        <v>458</v>
      </c>
      <c r="G24" s="78">
        <f t="shared" si="0"/>
        <v>458</v>
      </c>
    </row>
    <row r="25" spans="1:12" ht="18.75" customHeight="1" x14ac:dyDescent="0.3">
      <c r="A25" s="7"/>
      <c r="B25" s="17">
        <v>21</v>
      </c>
      <c r="C25" s="79" t="s">
        <v>24</v>
      </c>
      <c r="D25" s="57">
        <v>40</v>
      </c>
      <c r="E25" s="55">
        <v>1</v>
      </c>
      <c r="F25" s="57">
        <v>482</v>
      </c>
      <c r="G25" s="78">
        <f t="shared" si="0"/>
        <v>482</v>
      </c>
    </row>
    <row r="26" spans="1:12" ht="18.75" customHeight="1" x14ac:dyDescent="0.3">
      <c r="A26" s="7"/>
      <c r="B26" s="16">
        <v>22</v>
      </c>
      <c r="C26" s="79" t="s">
        <v>24</v>
      </c>
      <c r="D26" s="57">
        <v>42</v>
      </c>
      <c r="E26" s="55">
        <v>1</v>
      </c>
      <c r="F26" s="57">
        <v>506</v>
      </c>
      <c r="G26" s="78">
        <f t="shared" si="0"/>
        <v>506</v>
      </c>
    </row>
    <row r="27" spans="1:12" ht="18.75" customHeight="1" x14ac:dyDescent="0.3">
      <c r="A27" s="7"/>
      <c r="B27" s="16">
        <v>23</v>
      </c>
      <c r="C27" s="79" t="s">
        <v>28</v>
      </c>
      <c r="D27" s="57">
        <v>34</v>
      </c>
      <c r="E27" s="55">
        <v>1</v>
      </c>
      <c r="F27" s="57">
        <v>460</v>
      </c>
      <c r="G27" s="78">
        <f t="shared" si="0"/>
        <v>460</v>
      </c>
    </row>
    <row r="28" spans="1:12" ht="18.75" customHeight="1" x14ac:dyDescent="0.3">
      <c r="A28" s="7"/>
      <c r="B28" s="16">
        <v>24</v>
      </c>
      <c r="C28" s="79" t="s">
        <v>28</v>
      </c>
      <c r="D28" s="57">
        <v>36</v>
      </c>
      <c r="E28" s="55">
        <v>1</v>
      </c>
      <c r="F28" s="57">
        <v>490</v>
      </c>
      <c r="G28" s="78">
        <f t="shared" si="0"/>
        <v>490</v>
      </c>
    </row>
    <row r="29" spans="1:12" ht="18.75" customHeight="1" x14ac:dyDescent="0.3">
      <c r="A29" s="7"/>
      <c r="B29" s="16">
        <v>25</v>
      </c>
      <c r="C29" s="80" t="s">
        <v>28</v>
      </c>
      <c r="D29" s="81">
        <v>38</v>
      </c>
      <c r="E29" s="55">
        <v>1</v>
      </c>
      <c r="F29" s="57">
        <v>520</v>
      </c>
      <c r="G29" s="78">
        <f t="shared" si="0"/>
        <v>520</v>
      </c>
    </row>
    <row r="30" spans="1:12" ht="18.75" customHeight="1" x14ac:dyDescent="0.3">
      <c r="A30" s="7"/>
      <c r="B30" s="16">
        <v>26</v>
      </c>
      <c r="C30" s="80" t="s">
        <v>28</v>
      </c>
      <c r="D30" s="81">
        <v>40</v>
      </c>
      <c r="E30" s="55">
        <v>1</v>
      </c>
      <c r="F30" s="57">
        <v>550</v>
      </c>
      <c r="G30" s="78">
        <f t="shared" si="0"/>
        <v>550</v>
      </c>
    </row>
    <row r="31" spans="1:12" ht="18.75" customHeight="1" x14ac:dyDescent="0.3">
      <c r="A31" s="7"/>
      <c r="B31" s="16">
        <v>27</v>
      </c>
      <c r="C31" s="82" t="s">
        <v>28</v>
      </c>
      <c r="D31" s="81">
        <v>42</v>
      </c>
      <c r="E31" s="55">
        <v>1</v>
      </c>
      <c r="F31" s="57">
        <v>580</v>
      </c>
      <c r="G31" s="78">
        <f t="shared" si="0"/>
        <v>580</v>
      </c>
    </row>
    <row r="32" spans="1:12" ht="18.75" customHeight="1" thickBot="1" x14ac:dyDescent="0.35">
      <c r="A32" s="7"/>
      <c r="B32" s="16">
        <v>28</v>
      </c>
      <c r="C32" s="82" t="s">
        <v>28</v>
      </c>
      <c r="D32" s="81">
        <v>44</v>
      </c>
      <c r="E32" s="55">
        <v>1</v>
      </c>
      <c r="F32" s="57">
        <v>610</v>
      </c>
      <c r="G32" s="78">
        <f t="shared" si="0"/>
        <v>610</v>
      </c>
    </row>
    <row r="33" spans="1:7" ht="30" thickTop="1" thickBot="1" x14ac:dyDescent="0.5">
      <c r="A33" s="7"/>
      <c r="B33" s="143" t="s">
        <v>1</v>
      </c>
      <c r="C33" s="144"/>
      <c r="D33" s="144"/>
      <c r="E33" s="144"/>
      <c r="F33" s="145"/>
      <c r="G33" s="2">
        <f>SUM(G5:G32)</f>
        <v>13107</v>
      </c>
    </row>
    <row r="34" spans="1:7" ht="10.5" customHeight="1" thickTop="1" thickBot="1" x14ac:dyDescent="0.3">
      <c r="C34" s="1"/>
      <c r="D34" s="1"/>
      <c r="E34" s="1"/>
      <c r="F34" s="1"/>
      <c r="G34" s="1"/>
    </row>
    <row r="35" spans="1:7" ht="27.75" thickTop="1" thickBot="1" x14ac:dyDescent="0.45">
      <c r="C35" s="143" t="s">
        <v>77</v>
      </c>
      <c r="D35" s="145"/>
      <c r="E35" s="133">
        <v>13248</v>
      </c>
      <c r="F35" s="134"/>
    </row>
    <row r="36" spans="1:7" ht="27.75" thickTop="1" thickBot="1" x14ac:dyDescent="0.45">
      <c r="C36" s="143" t="s">
        <v>78</v>
      </c>
      <c r="D36" s="145"/>
      <c r="E36" s="133">
        <v>13107</v>
      </c>
      <c r="F36" s="134"/>
    </row>
    <row r="37" spans="1:7" ht="27.75" thickTop="1" thickBot="1" x14ac:dyDescent="0.45">
      <c r="C37" s="143" t="s">
        <v>8</v>
      </c>
      <c r="D37" s="145"/>
      <c r="E37" s="133">
        <f>E35+E36</f>
        <v>26355</v>
      </c>
      <c r="F37" s="134"/>
    </row>
    <row r="38" spans="1:7" ht="15.75" thickTop="1" x14ac:dyDescent="0.25"/>
  </sheetData>
  <mergeCells count="10">
    <mergeCell ref="C36:D36"/>
    <mergeCell ref="E36:F36"/>
    <mergeCell ref="C37:D37"/>
    <mergeCell ref="E37:F37"/>
    <mergeCell ref="B1:G1"/>
    <mergeCell ref="B2:G2"/>
    <mergeCell ref="B3:G3"/>
    <mergeCell ref="B33:F33"/>
    <mergeCell ref="C35:D35"/>
    <mergeCell ref="E35:F35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rightToLeft="1" topLeftCell="A13" zoomScaleNormal="100" workbookViewId="0">
      <selection activeCell="G36" sqref="G36"/>
    </sheetView>
  </sheetViews>
  <sheetFormatPr defaultRowHeight="15" x14ac:dyDescent="0.25"/>
  <cols>
    <col min="1" max="1" width="2.42578125" customWidth="1"/>
    <col min="2" max="2" width="4" customWidth="1"/>
    <col min="3" max="3" width="20.85546875" customWidth="1"/>
    <col min="4" max="4" width="11" customWidth="1"/>
    <col min="5" max="5" width="10.140625" customWidth="1"/>
    <col min="6" max="6" width="12.42578125" customWidth="1"/>
    <col min="7" max="7" width="19.85546875" customWidth="1"/>
    <col min="8" max="8" width="3.7109375" customWidth="1"/>
    <col min="9" max="9" width="25" customWidth="1"/>
    <col min="10" max="10" width="22.5703125" customWidth="1"/>
  </cols>
  <sheetData>
    <row r="1" spans="1:12" ht="31.5" x14ac:dyDescent="0.55000000000000004">
      <c r="A1" s="6"/>
      <c r="B1" s="139" t="s">
        <v>79</v>
      </c>
      <c r="C1" s="139"/>
      <c r="D1" s="139"/>
      <c r="E1" s="139"/>
      <c r="F1" s="139"/>
      <c r="G1" s="139"/>
    </row>
    <row r="2" spans="1:12" ht="23.25" x14ac:dyDescent="0.35">
      <c r="A2" s="6"/>
      <c r="B2" s="148" t="s">
        <v>84</v>
      </c>
      <c r="C2" s="148"/>
      <c r="D2" s="148"/>
      <c r="E2" s="148"/>
      <c r="F2" s="148"/>
      <c r="G2" s="148"/>
    </row>
    <row r="3" spans="1:12" ht="22.5" customHeight="1" thickBot="1" x14ac:dyDescent="0.4">
      <c r="A3" s="6"/>
      <c r="B3" s="149" t="s">
        <v>71</v>
      </c>
      <c r="C3" s="149"/>
      <c r="D3" s="149"/>
      <c r="E3" s="149"/>
      <c r="F3" s="149"/>
      <c r="G3" s="149"/>
    </row>
    <row r="4" spans="1:12" ht="27" customHeight="1" thickTop="1" thickBot="1" x14ac:dyDescent="0.5">
      <c r="A4" s="7"/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I4" s="69" t="s">
        <v>15</v>
      </c>
      <c r="J4" s="69" t="s">
        <v>30</v>
      </c>
      <c r="K4" s="70" t="s">
        <v>59</v>
      </c>
      <c r="L4" s="70" t="s">
        <v>60</v>
      </c>
    </row>
    <row r="5" spans="1:12" ht="18" customHeight="1" thickTop="1" thickBot="1" x14ac:dyDescent="0.4">
      <c r="A5" s="7"/>
      <c r="B5" s="15">
        <v>1</v>
      </c>
      <c r="C5" s="8"/>
      <c r="D5" s="8"/>
      <c r="E5" s="9"/>
      <c r="F5" s="8"/>
      <c r="G5" s="15">
        <f>F5*E5</f>
        <v>0</v>
      </c>
      <c r="I5" s="71" t="s">
        <v>16</v>
      </c>
      <c r="J5" s="70" t="s">
        <v>31</v>
      </c>
      <c r="K5" s="70" t="s">
        <v>54</v>
      </c>
      <c r="L5" s="70">
        <v>2</v>
      </c>
    </row>
    <row r="6" spans="1:12" ht="18" customHeight="1" thickTop="1" thickBot="1" x14ac:dyDescent="0.4">
      <c r="A6" s="7"/>
      <c r="B6" s="16">
        <v>2</v>
      </c>
      <c r="C6" s="8"/>
      <c r="D6" s="8"/>
      <c r="E6" s="5"/>
      <c r="F6" s="4"/>
      <c r="G6" s="16">
        <f>F6*E6</f>
        <v>0</v>
      </c>
      <c r="I6" s="69" t="s">
        <v>17</v>
      </c>
      <c r="J6" s="69" t="s">
        <v>32</v>
      </c>
      <c r="K6" s="70" t="s">
        <v>55</v>
      </c>
      <c r="L6" s="70">
        <v>4</v>
      </c>
    </row>
    <row r="7" spans="1:12" ht="18" customHeight="1" thickTop="1" thickBot="1" x14ac:dyDescent="0.4">
      <c r="A7" s="7"/>
      <c r="B7" s="17">
        <v>3</v>
      </c>
      <c r="C7" s="8"/>
      <c r="D7" s="8"/>
      <c r="E7" s="5"/>
      <c r="F7" s="4"/>
      <c r="G7" s="16">
        <f t="shared" ref="G7:G31" si="0">F7*E7</f>
        <v>0</v>
      </c>
      <c r="I7" s="69" t="s">
        <v>18</v>
      </c>
      <c r="J7" s="72" t="s">
        <v>33</v>
      </c>
      <c r="K7" s="70" t="s">
        <v>56</v>
      </c>
      <c r="L7" s="70">
        <v>6</v>
      </c>
    </row>
    <row r="8" spans="1:12" ht="18" customHeight="1" thickTop="1" thickBot="1" x14ac:dyDescent="0.4">
      <c r="A8" s="7"/>
      <c r="B8" s="18">
        <v>4</v>
      </c>
      <c r="C8" s="8"/>
      <c r="D8" s="8"/>
      <c r="E8" s="5"/>
      <c r="F8" s="4"/>
      <c r="G8" s="16">
        <f t="shared" si="0"/>
        <v>0</v>
      </c>
      <c r="I8" s="69" t="s">
        <v>19</v>
      </c>
      <c r="J8" s="69" t="s">
        <v>34</v>
      </c>
      <c r="K8" s="70" t="s">
        <v>57</v>
      </c>
      <c r="L8" s="70">
        <v>8</v>
      </c>
    </row>
    <row r="9" spans="1:12" ht="18" customHeight="1" thickTop="1" thickBot="1" x14ac:dyDescent="0.4">
      <c r="A9" s="7"/>
      <c r="B9" s="18">
        <v>5</v>
      </c>
      <c r="C9" s="8"/>
      <c r="D9" s="8"/>
      <c r="E9" s="5"/>
      <c r="F9" s="4"/>
      <c r="G9" s="16">
        <f t="shared" si="0"/>
        <v>0</v>
      </c>
      <c r="I9" s="69" t="s">
        <v>20</v>
      </c>
      <c r="J9" s="69" t="s">
        <v>35</v>
      </c>
      <c r="K9" s="73" t="s">
        <v>52</v>
      </c>
      <c r="L9" s="70">
        <v>10</v>
      </c>
    </row>
    <row r="10" spans="1:12" ht="18" customHeight="1" thickTop="1" thickBot="1" x14ac:dyDescent="0.4">
      <c r="A10" s="7"/>
      <c r="B10" s="16">
        <v>6</v>
      </c>
      <c r="C10" s="8"/>
      <c r="D10" s="8"/>
      <c r="E10" s="5"/>
      <c r="F10" s="4"/>
      <c r="G10" s="16">
        <f t="shared" si="0"/>
        <v>0</v>
      </c>
      <c r="I10" s="69" t="s">
        <v>21</v>
      </c>
      <c r="J10" s="69" t="s">
        <v>36</v>
      </c>
      <c r="K10" s="73" t="s">
        <v>53</v>
      </c>
      <c r="L10" s="70">
        <v>12</v>
      </c>
    </row>
    <row r="11" spans="1:12" ht="18" customHeight="1" thickTop="1" thickBot="1" x14ac:dyDescent="0.4">
      <c r="A11" s="7"/>
      <c r="B11" s="17">
        <v>7</v>
      </c>
      <c r="C11" s="4"/>
      <c r="D11" s="4"/>
      <c r="E11" s="5"/>
      <c r="F11" s="4"/>
      <c r="G11" s="16">
        <f t="shared" si="0"/>
        <v>0</v>
      </c>
      <c r="I11" s="69" t="s">
        <v>22</v>
      </c>
      <c r="J11" s="69" t="s">
        <v>37</v>
      </c>
      <c r="K11" s="73" t="s">
        <v>61</v>
      </c>
      <c r="L11" s="70">
        <v>34</v>
      </c>
    </row>
    <row r="12" spans="1:12" ht="18" customHeight="1" thickTop="1" thickBot="1" x14ac:dyDescent="0.4">
      <c r="A12" s="7"/>
      <c r="B12" s="16">
        <v>8</v>
      </c>
      <c r="C12" s="4"/>
      <c r="D12" s="4"/>
      <c r="E12" s="5"/>
      <c r="F12" s="4"/>
      <c r="G12" s="16">
        <f t="shared" si="0"/>
        <v>0</v>
      </c>
      <c r="I12" s="69" t="s">
        <v>23</v>
      </c>
      <c r="J12" s="69" t="s">
        <v>38</v>
      </c>
      <c r="K12" s="73" t="s">
        <v>62</v>
      </c>
      <c r="L12" s="70">
        <v>36</v>
      </c>
    </row>
    <row r="13" spans="1:12" ht="18" customHeight="1" thickTop="1" thickBot="1" x14ac:dyDescent="0.4">
      <c r="A13" s="7"/>
      <c r="B13" s="17">
        <v>9</v>
      </c>
      <c r="C13" s="4"/>
      <c r="D13" s="4"/>
      <c r="E13" s="5"/>
      <c r="F13" s="4"/>
      <c r="G13" s="16">
        <f t="shared" si="0"/>
        <v>0</v>
      </c>
      <c r="I13" s="69" t="s">
        <v>24</v>
      </c>
      <c r="J13" s="69" t="s">
        <v>39</v>
      </c>
      <c r="K13" s="74"/>
      <c r="L13" s="70">
        <v>38</v>
      </c>
    </row>
    <row r="14" spans="1:12" ht="18" customHeight="1" thickTop="1" thickBot="1" x14ac:dyDescent="0.4">
      <c r="A14" s="7"/>
      <c r="B14" s="18">
        <v>10</v>
      </c>
      <c r="C14" s="4"/>
      <c r="D14" s="4"/>
      <c r="E14" s="5"/>
      <c r="F14" s="4"/>
      <c r="G14" s="16">
        <f t="shared" si="0"/>
        <v>0</v>
      </c>
      <c r="I14" s="69" t="s">
        <v>25</v>
      </c>
      <c r="J14" s="69" t="s">
        <v>40</v>
      </c>
      <c r="K14" s="74"/>
      <c r="L14" s="70">
        <v>40</v>
      </c>
    </row>
    <row r="15" spans="1:12" ht="18" customHeight="1" thickTop="1" thickBot="1" x14ac:dyDescent="0.4">
      <c r="A15" s="7"/>
      <c r="B15" s="17">
        <v>11</v>
      </c>
      <c r="C15" s="4"/>
      <c r="D15" s="4"/>
      <c r="E15" s="5"/>
      <c r="F15" s="4"/>
      <c r="G15" s="16">
        <f t="shared" si="0"/>
        <v>0</v>
      </c>
      <c r="I15" s="69" t="s">
        <v>28</v>
      </c>
      <c r="J15" s="69" t="s">
        <v>41</v>
      </c>
      <c r="K15" s="74"/>
      <c r="L15" s="70">
        <v>42</v>
      </c>
    </row>
    <row r="16" spans="1:12" ht="18" customHeight="1" thickTop="1" thickBot="1" x14ac:dyDescent="0.4">
      <c r="A16" s="7"/>
      <c r="B16" s="17">
        <v>12</v>
      </c>
      <c r="C16" s="4"/>
      <c r="D16" s="4"/>
      <c r="E16" s="5"/>
      <c r="F16" s="4"/>
      <c r="G16" s="16">
        <f t="shared" si="0"/>
        <v>0</v>
      </c>
      <c r="I16" s="69" t="s">
        <v>26</v>
      </c>
      <c r="J16" s="74"/>
      <c r="K16" s="74"/>
      <c r="L16" s="70">
        <v>44</v>
      </c>
    </row>
    <row r="17" spans="1:12" ht="18" customHeight="1" thickTop="1" thickBot="1" x14ac:dyDescent="0.4">
      <c r="A17" s="7"/>
      <c r="B17" s="17">
        <v>13</v>
      </c>
      <c r="C17" s="4"/>
      <c r="D17" s="4"/>
      <c r="E17" s="5"/>
      <c r="F17" s="4"/>
      <c r="G17" s="16">
        <f t="shared" si="0"/>
        <v>0</v>
      </c>
      <c r="I17" s="69" t="s">
        <v>27</v>
      </c>
      <c r="J17" s="74"/>
      <c r="K17" s="74"/>
      <c r="L17" s="74"/>
    </row>
    <row r="18" spans="1:12" ht="18" customHeight="1" thickTop="1" thickBot="1" x14ac:dyDescent="0.4">
      <c r="A18" s="7"/>
      <c r="B18" s="17">
        <v>14</v>
      </c>
      <c r="C18" s="4"/>
      <c r="D18" s="4"/>
      <c r="E18" s="5"/>
      <c r="F18" s="4"/>
      <c r="G18" s="16">
        <f t="shared" si="0"/>
        <v>0</v>
      </c>
      <c r="I18" s="69" t="s">
        <v>29</v>
      </c>
      <c r="J18" s="74"/>
      <c r="K18" s="74"/>
      <c r="L18" s="74"/>
    </row>
    <row r="19" spans="1:12" ht="18" customHeight="1" thickTop="1" x14ac:dyDescent="0.35">
      <c r="A19" s="7"/>
      <c r="B19" s="17">
        <v>15</v>
      </c>
      <c r="C19" s="4"/>
      <c r="D19" s="4"/>
      <c r="E19" s="5"/>
      <c r="F19" s="4"/>
      <c r="G19" s="16">
        <f t="shared" si="0"/>
        <v>0</v>
      </c>
    </row>
    <row r="20" spans="1:12" ht="18" customHeight="1" x14ac:dyDescent="0.35">
      <c r="A20" s="7"/>
      <c r="B20" s="16">
        <v>16</v>
      </c>
      <c r="C20" s="4"/>
      <c r="D20" s="4"/>
      <c r="E20" s="5"/>
      <c r="F20" s="4"/>
      <c r="G20" s="16">
        <f t="shared" si="0"/>
        <v>0</v>
      </c>
    </row>
    <row r="21" spans="1:12" ht="18" customHeight="1" x14ac:dyDescent="0.35">
      <c r="A21" s="7"/>
      <c r="B21" s="16">
        <v>17</v>
      </c>
      <c r="C21" s="4"/>
      <c r="D21" s="4"/>
      <c r="E21" s="5"/>
      <c r="F21" s="4"/>
      <c r="G21" s="16">
        <f t="shared" si="0"/>
        <v>0</v>
      </c>
    </row>
    <row r="22" spans="1:12" ht="18" customHeight="1" x14ac:dyDescent="0.35">
      <c r="A22" s="7"/>
      <c r="B22" s="17">
        <v>18</v>
      </c>
      <c r="C22" s="4"/>
      <c r="D22" s="4"/>
      <c r="E22" s="5"/>
      <c r="F22" s="4"/>
      <c r="G22" s="16">
        <f t="shared" si="0"/>
        <v>0</v>
      </c>
    </row>
    <row r="23" spans="1:12" ht="18" customHeight="1" x14ac:dyDescent="0.35">
      <c r="A23" s="7"/>
      <c r="B23" s="16">
        <v>19</v>
      </c>
      <c r="C23" s="4"/>
      <c r="D23" s="4"/>
      <c r="E23" s="5"/>
      <c r="F23" s="4"/>
      <c r="G23" s="16">
        <f t="shared" si="0"/>
        <v>0</v>
      </c>
    </row>
    <row r="24" spans="1:12" ht="18" customHeight="1" x14ac:dyDescent="0.35">
      <c r="A24" s="7"/>
      <c r="B24" s="9">
        <v>20</v>
      </c>
      <c r="C24" s="4"/>
      <c r="D24" s="4"/>
      <c r="E24" s="5"/>
      <c r="F24" s="4"/>
      <c r="G24" s="16">
        <f t="shared" si="0"/>
        <v>0</v>
      </c>
    </row>
    <row r="25" spans="1:12" ht="18" customHeight="1" x14ac:dyDescent="0.35">
      <c r="A25" s="7"/>
      <c r="B25" s="17">
        <v>21</v>
      </c>
      <c r="C25" s="4"/>
      <c r="D25" s="4"/>
      <c r="E25" s="5"/>
      <c r="F25" s="4"/>
      <c r="G25" s="16">
        <f t="shared" si="0"/>
        <v>0</v>
      </c>
    </row>
    <row r="26" spans="1:12" ht="18" customHeight="1" x14ac:dyDescent="0.35">
      <c r="A26" s="7"/>
      <c r="B26" s="16">
        <v>22</v>
      </c>
      <c r="C26" s="4"/>
      <c r="D26" s="4"/>
      <c r="E26" s="5"/>
      <c r="F26" s="4"/>
      <c r="G26" s="16">
        <f t="shared" si="0"/>
        <v>0</v>
      </c>
    </row>
    <row r="27" spans="1:12" ht="18" customHeight="1" x14ac:dyDescent="0.35">
      <c r="A27" s="7"/>
      <c r="B27" s="16">
        <v>23</v>
      </c>
      <c r="C27" s="4"/>
      <c r="D27" s="4"/>
      <c r="E27" s="5"/>
      <c r="F27" s="4"/>
      <c r="G27" s="16">
        <f t="shared" si="0"/>
        <v>0</v>
      </c>
    </row>
    <row r="28" spans="1:12" ht="18" customHeight="1" x14ac:dyDescent="0.35">
      <c r="A28" s="7"/>
      <c r="B28" s="16">
        <v>24</v>
      </c>
      <c r="C28" s="4"/>
      <c r="D28" s="4"/>
      <c r="E28" s="5"/>
      <c r="F28" s="4"/>
      <c r="G28" s="16">
        <f t="shared" si="0"/>
        <v>0</v>
      </c>
    </row>
    <row r="29" spans="1:12" ht="18" customHeight="1" x14ac:dyDescent="0.35">
      <c r="A29" s="7"/>
      <c r="B29" s="16">
        <v>25</v>
      </c>
      <c r="C29" s="12"/>
      <c r="D29" s="12"/>
      <c r="E29" s="13"/>
      <c r="F29" s="12"/>
      <c r="G29" s="16">
        <f t="shared" si="0"/>
        <v>0</v>
      </c>
    </row>
    <row r="30" spans="1:12" ht="18" customHeight="1" x14ac:dyDescent="0.35">
      <c r="A30" s="7"/>
      <c r="B30" s="16">
        <v>26</v>
      </c>
      <c r="C30" s="12"/>
      <c r="D30" s="12"/>
      <c r="E30" s="13"/>
      <c r="F30" s="12"/>
      <c r="G30" s="16">
        <f t="shared" si="0"/>
        <v>0</v>
      </c>
    </row>
    <row r="31" spans="1:12" ht="18" customHeight="1" thickBot="1" x14ac:dyDescent="0.4">
      <c r="A31" s="7"/>
      <c r="B31" s="16">
        <v>27</v>
      </c>
      <c r="C31" s="12"/>
      <c r="D31" s="12"/>
      <c r="E31" s="5"/>
      <c r="F31" s="12"/>
      <c r="G31" s="16">
        <f t="shared" si="0"/>
        <v>0</v>
      </c>
    </row>
    <row r="32" spans="1:12" ht="24" customHeight="1" thickTop="1" thickBot="1" x14ac:dyDescent="0.5">
      <c r="A32" s="7"/>
      <c r="B32" s="143" t="s">
        <v>1</v>
      </c>
      <c r="C32" s="144"/>
      <c r="D32" s="144"/>
      <c r="E32" s="144"/>
      <c r="F32" s="145"/>
      <c r="G32" s="2">
        <f>SUM(G5:G31)</f>
        <v>0</v>
      </c>
    </row>
    <row r="33" spans="3:7" ht="8.25" customHeight="1" thickTop="1" thickBot="1" x14ac:dyDescent="0.3">
      <c r="C33" s="1"/>
      <c r="D33" s="1"/>
      <c r="E33" s="1"/>
      <c r="F33" s="1"/>
      <c r="G33" s="1"/>
    </row>
    <row r="34" spans="3:7" ht="24.75" thickTop="1" thickBot="1" x14ac:dyDescent="0.4">
      <c r="C34" s="143" t="s">
        <v>7</v>
      </c>
      <c r="D34" s="145"/>
      <c r="E34" s="143"/>
      <c r="F34" s="145"/>
    </row>
    <row r="35" spans="3:7" ht="24.75" thickTop="1" thickBot="1" x14ac:dyDescent="0.4">
      <c r="C35" s="143" t="s">
        <v>12</v>
      </c>
      <c r="D35" s="145"/>
      <c r="E35" s="143"/>
      <c r="F35" s="145"/>
    </row>
    <row r="36" spans="3:7" ht="24.75" thickTop="1" thickBot="1" x14ac:dyDescent="0.4">
      <c r="C36" s="143" t="s">
        <v>8</v>
      </c>
      <c r="D36" s="145"/>
      <c r="E36" s="143">
        <f>E34+E35</f>
        <v>0</v>
      </c>
      <c r="F36" s="145"/>
    </row>
    <row r="37" spans="3:7" ht="15.75" thickTop="1" x14ac:dyDescent="0.25"/>
  </sheetData>
  <mergeCells count="10">
    <mergeCell ref="C35:D35"/>
    <mergeCell ref="E35:F35"/>
    <mergeCell ref="C36:D36"/>
    <mergeCell ref="E36:F36"/>
    <mergeCell ref="B1:G1"/>
    <mergeCell ref="B2:G2"/>
    <mergeCell ref="B3:G3"/>
    <mergeCell ref="B32:F32"/>
    <mergeCell ref="C34:D34"/>
    <mergeCell ref="E34:F34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rightToLeft="1" topLeftCell="A13" zoomScaleNormal="100" workbookViewId="0">
      <selection activeCell="A30" sqref="A30:XFD31"/>
    </sheetView>
  </sheetViews>
  <sheetFormatPr defaultRowHeight="15" x14ac:dyDescent="0.25"/>
  <cols>
    <col min="1" max="1" width="2.42578125" customWidth="1"/>
    <col min="2" max="2" width="4" customWidth="1"/>
    <col min="3" max="3" width="20.85546875" customWidth="1"/>
    <col min="4" max="4" width="11" customWidth="1"/>
    <col min="5" max="5" width="10.140625" customWidth="1"/>
    <col min="6" max="6" width="12.42578125" customWidth="1"/>
    <col min="7" max="7" width="19.85546875" customWidth="1"/>
    <col min="8" max="8" width="3.7109375" customWidth="1"/>
    <col min="9" max="9" width="25" customWidth="1"/>
    <col min="10" max="10" width="22.5703125" customWidth="1"/>
  </cols>
  <sheetData>
    <row r="1" spans="1:12" ht="31.5" x14ac:dyDescent="0.55000000000000004">
      <c r="A1" s="6"/>
      <c r="B1" s="139" t="s">
        <v>79</v>
      </c>
      <c r="C1" s="139"/>
      <c r="D1" s="139"/>
      <c r="E1" s="139"/>
      <c r="F1" s="139"/>
      <c r="G1" s="139"/>
    </row>
    <row r="2" spans="1:12" ht="23.25" x14ac:dyDescent="0.35">
      <c r="A2" s="6"/>
      <c r="B2" s="148" t="s">
        <v>84</v>
      </c>
      <c r="C2" s="148"/>
      <c r="D2" s="148"/>
      <c r="E2" s="148"/>
      <c r="F2" s="148"/>
      <c r="G2" s="148"/>
    </row>
    <row r="3" spans="1:12" ht="22.5" customHeight="1" thickBot="1" x14ac:dyDescent="0.4">
      <c r="A3" s="6"/>
      <c r="B3" s="149" t="s">
        <v>71</v>
      </c>
      <c r="C3" s="149"/>
      <c r="D3" s="149"/>
      <c r="E3" s="149"/>
      <c r="F3" s="149"/>
      <c r="G3" s="149"/>
    </row>
    <row r="4" spans="1:12" ht="27" customHeight="1" thickTop="1" thickBot="1" x14ac:dyDescent="0.5">
      <c r="A4" s="7"/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I4" s="69" t="s">
        <v>15</v>
      </c>
      <c r="J4" s="69" t="s">
        <v>30</v>
      </c>
      <c r="K4" s="70" t="s">
        <v>59</v>
      </c>
      <c r="L4" s="70" t="s">
        <v>60</v>
      </c>
    </row>
    <row r="5" spans="1:12" ht="18" customHeight="1" thickTop="1" thickBot="1" x14ac:dyDescent="0.4">
      <c r="A5" s="7"/>
      <c r="B5" s="15">
        <v>1</v>
      </c>
      <c r="C5" s="8"/>
      <c r="D5" s="8"/>
      <c r="E5" s="9"/>
      <c r="F5" s="8"/>
      <c r="G5" s="15">
        <f>F5*E5</f>
        <v>0</v>
      </c>
      <c r="I5" s="71" t="s">
        <v>16</v>
      </c>
      <c r="J5" s="70" t="s">
        <v>31</v>
      </c>
      <c r="K5" s="70" t="s">
        <v>54</v>
      </c>
      <c r="L5" s="70">
        <v>2</v>
      </c>
    </row>
    <row r="6" spans="1:12" ht="18" customHeight="1" thickTop="1" thickBot="1" x14ac:dyDescent="0.4">
      <c r="A6" s="7"/>
      <c r="B6" s="16">
        <v>2</v>
      </c>
      <c r="C6" s="8"/>
      <c r="D6" s="8"/>
      <c r="E6" s="5"/>
      <c r="F6" s="4"/>
      <c r="G6" s="16">
        <f>F6*E6</f>
        <v>0</v>
      </c>
      <c r="I6" s="69" t="s">
        <v>17</v>
      </c>
      <c r="J6" s="69" t="s">
        <v>32</v>
      </c>
      <c r="K6" s="70" t="s">
        <v>55</v>
      </c>
      <c r="L6" s="70">
        <v>4</v>
      </c>
    </row>
    <row r="7" spans="1:12" ht="18" customHeight="1" thickTop="1" thickBot="1" x14ac:dyDescent="0.4">
      <c r="A7" s="7"/>
      <c r="B7" s="17">
        <v>3</v>
      </c>
      <c r="C7" s="8"/>
      <c r="D7" s="8"/>
      <c r="E7" s="5"/>
      <c r="F7" s="4"/>
      <c r="G7" s="16">
        <f t="shared" ref="G7:G29" si="0">F7*E7</f>
        <v>0</v>
      </c>
      <c r="I7" s="69" t="s">
        <v>18</v>
      </c>
      <c r="J7" s="72" t="s">
        <v>33</v>
      </c>
      <c r="K7" s="70" t="s">
        <v>56</v>
      </c>
      <c r="L7" s="70">
        <v>6</v>
      </c>
    </row>
    <row r="8" spans="1:12" ht="18" customHeight="1" thickTop="1" thickBot="1" x14ac:dyDescent="0.4">
      <c r="A8" s="7"/>
      <c r="B8" s="18">
        <v>4</v>
      </c>
      <c r="C8" s="8"/>
      <c r="D8" s="8"/>
      <c r="E8" s="5"/>
      <c r="F8" s="4"/>
      <c r="G8" s="16">
        <f t="shared" si="0"/>
        <v>0</v>
      </c>
      <c r="I8" s="69" t="s">
        <v>19</v>
      </c>
      <c r="J8" s="69" t="s">
        <v>34</v>
      </c>
      <c r="K8" s="70" t="s">
        <v>57</v>
      </c>
      <c r="L8" s="70">
        <v>8</v>
      </c>
    </row>
    <row r="9" spans="1:12" ht="18" customHeight="1" thickTop="1" thickBot="1" x14ac:dyDescent="0.4">
      <c r="A9" s="7"/>
      <c r="B9" s="18">
        <v>5</v>
      </c>
      <c r="C9" s="8"/>
      <c r="D9" s="8"/>
      <c r="E9" s="5"/>
      <c r="F9" s="4"/>
      <c r="G9" s="16">
        <f t="shared" si="0"/>
        <v>0</v>
      </c>
      <c r="I9" s="69" t="s">
        <v>20</v>
      </c>
      <c r="J9" s="69" t="s">
        <v>35</v>
      </c>
      <c r="K9" s="73" t="s">
        <v>52</v>
      </c>
      <c r="L9" s="70">
        <v>10</v>
      </c>
    </row>
    <row r="10" spans="1:12" ht="18" customHeight="1" thickTop="1" thickBot="1" x14ac:dyDescent="0.4">
      <c r="A10" s="7"/>
      <c r="B10" s="16">
        <v>6</v>
      </c>
      <c r="C10" s="8"/>
      <c r="D10" s="8"/>
      <c r="E10" s="5"/>
      <c r="F10" s="4"/>
      <c r="G10" s="16">
        <f t="shared" si="0"/>
        <v>0</v>
      </c>
      <c r="I10" s="69" t="s">
        <v>21</v>
      </c>
      <c r="J10" s="69" t="s">
        <v>36</v>
      </c>
      <c r="K10" s="73" t="s">
        <v>53</v>
      </c>
      <c r="L10" s="70">
        <v>12</v>
      </c>
    </row>
    <row r="11" spans="1:12" ht="18" customHeight="1" thickTop="1" thickBot="1" x14ac:dyDescent="0.4">
      <c r="A11" s="7"/>
      <c r="B11" s="17">
        <v>7</v>
      </c>
      <c r="C11" s="4"/>
      <c r="D11" s="4"/>
      <c r="E11" s="5"/>
      <c r="F11" s="4"/>
      <c r="G11" s="16">
        <f t="shared" si="0"/>
        <v>0</v>
      </c>
      <c r="I11" s="69" t="s">
        <v>22</v>
      </c>
      <c r="J11" s="69" t="s">
        <v>37</v>
      </c>
      <c r="K11" s="73" t="s">
        <v>61</v>
      </c>
      <c r="L11" s="70">
        <v>34</v>
      </c>
    </row>
    <row r="12" spans="1:12" ht="18" customHeight="1" thickTop="1" thickBot="1" x14ac:dyDescent="0.4">
      <c r="A12" s="7"/>
      <c r="B12" s="16">
        <v>8</v>
      </c>
      <c r="C12" s="4"/>
      <c r="D12" s="4"/>
      <c r="E12" s="5"/>
      <c r="F12" s="4"/>
      <c r="G12" s="16">
        <f t="shared" si="0"/>
        <v>0</v>
      </c>
      <c r="I12" s="69" t="s">
        <v>23</v>
      </c>
      <c r="J12" s="69" t="s">
        <v>38</v>
      </c>
      <c r="K12" s="73" t="s">
        <v>62</v>
      </c>
      <c r="L12" s="70">
        <v>36</v>
      </c>
    </row>
    <row r="13" spans="1:12" ht="18" customHeight="1" thickTop="1" thickBot="1" x14ac:dyDescent="0.4">
      <c r="A13" s="7"/>
      <c r="B13" s="17">
        <v>9</v>
      </c>
      <c r="C13" s="4"/>
      <c r="D13" s="4"/>
      <c r="E13" s="5"/>
      <c r="F13" s="4"/>
      <c r="G13" s="16">
        <f t="shared" si="0"/>
        <v>0</v>
      </c>
      <c r="I13" s="69" t="s">
        <v>24</v>
      </c>
      <c r="J13" s="69" t="s">
        <v>39</v>
      </c>
      <c r="K13" s="74"/>
      <c r="L13" s="70">
        <v>38</v>
      </c>
    </row>
    <row r="14" spans="1:12" ht="18" customHeight="1" thickTop="1" thickBot="1" x14ac:dyDescent="0.4">
      <c r="A14" s="7"/>
      <c r="B14" s="18">
        <v>10</v>
      </c>
      <c r="C14" s="4"/>
      <c r="D14" s="4"/>
      <c r="E14" s="5"/>
      <c r="F14" s="4"/>
      <c r="G14" s="16">
        <f t="shared" si="0"/>
        <v>0</v>
      </c>
      <c r="I14" s="69" t="s">
        <v>25</v>
      </c>
      <c r="J14" s="69" t="s">
        <v>40</v>
      </c>
      <c r="K14" s="74"/>
      <c r="L14" s="70">
        <v>40</v>
      </c>
    </row>
    <row r="15" spans="1:12" ht="18" customHeight="1" thickTop="1" thickBot="1" x14ac:dyDescent="0.4">
      <c r="A15" s="7"/>
      <c r="B15" s="17">
        <v>11</v>
      </c>
      <c r="C15" s="4"/>
      <c r="D15" s="4"/>
      <c r="E15" s="5"/>
      <c r="F15" s="4"/>
      <c r="G15" s="16">
        <f t="shared" si="0"/>
        <v>0</v>
      </c>
      <c r="I15" s="69" t="s">
        <v>28</v>
      </c>
      <c r="J15" s="69" t="s">
        <v>41</v>
      </c>
      <c r="K15" s="74"/>
      <c r="L15" s="70">
        <v>42</v>
      </c>
    </row>
    <row r="16" spans="1:12" ht="18" customHeight="1" thickTop="1" thickBot="1" x14ac:dyDescent="0.4">
      <c r="A16" s="7"/>
      <c r="B16" s="17">
        <v>12</v>
      </c>
      <c r="C16" s="4"/>
      <c r="D16" s="4"/>
      <c r="E16" s="5"/>
      <c r="F16" s="4"/>
      <c r="G16" s="16">
        <f t="shared" si="0"/>
        <v>0</v>
      </c>
      <c r="I16" s="69" t="s">
        <v>26</v>
      </c>
      <c r="J16" s="74"/>
      <c r="K16" s="74"/>
      <c r="L16" s="70">
        <v>44</v>
      </c>
    </row>
    <row r="17" spans="1:12" ht="18" customHeight="1" thickTop="1" thickBot="1" x14ac:dyDescent="0.4">
      <c r="A17" s="7"/>
      <c r="B17" s="17">
        <v>13</v>
      </c>
      <c r="C17" s="4"/>
      <c r="D17" s="4"/>
      <c r="E17" s="5"/>
      <c r="F17" s="4"/>
      <c r="G17" s="16">
        <f t="shared" si="0"/>
        <v>0</v>
      </c>
      <c r="I17" s="69" t="s">
        <v>27</v>
      </c>
      <c r="J17" s="74"/>
      <c r="K17" s="74"/>
      <c r="L17" s="74"/>
    </row>
    <row r="18" spans="1:12" ht="18" customHeight="1" thickTop="1" thickBot="1" x14ac:dyDescent="0.4">
      <c r="A18" s="7"/>
      <c r="B18" s="17">
        <v>14</v>
      </c>
      <c r="C18" s="4"/>
      <c r="D18" s="4"/>
      <c r="E18" s="5"/>
      <c r="F18" s="4"/>
      <c r="G18" s="16">
        <f t="shared" si="0"/>
        <v>0</v>
      </c>
      <c r="I18" s="69" t="s">
        <v>29</v>
      </c>
      <c r="J18" s="74"/>
      <c r="K18" s="74"/>
      <c r="L18" s="74"/>
    </row>
    <row r="19" spans="1:12" ht="18" customHeight="1" thickTop="1" x14ac:dyDescent="0.35">
      <c r="A19" s="7"/>
      <c r="B19" s="17">
        <v>15</v>
      </c>
      <c r="C19" s="4"/>
      <c r="D19" s="4"/>
      <c r="E19" s="5"/>
      <c r="F19" s="4"/>
      <c r="G19" s="16">
        <f t="shared" si="0"/>
        <v>0</v>
      </c>
    </row>
    <row r="20" spans="1:12" ht="18" customHeight="1" x14ac:dyDescent="0.35">
      <c r="A20" s="7"/>
      <c r="B20" s="16">
        <v>16</v>
      </c>
      <c r="C20" s="4"/>
      <c r="D20" s="4"/>
      <c r="E20" s="5"/>
      <c r="F20" s="4"/>
      <c r="G20" s="16">
        <f t="shared" si="0"/>
        <v>0</v>
      </c>
    </row>
    <row r="21" spans="1:12" ht="18" customHeight="1" x14ac:dyDescent="0.35">
      <c r="A21" s="7"/>
      <c r="B21" s="16">
        <v>17</v>
      </c>
      <c r="C21" s="4"/>
      <c r="D21" s="4"/>
      <c r="E21" s="5"/>
      <c r="F21" s="4"/>
      <c r="G21" s="16">
        <f t="shared" si="0"/>
        <v>0</v>
      </c>
    </row>
    <row r="22" spans="1:12" ht="18" customHeight="1" x14ac:dyDescent="0.35">
      <c r="A22" s="7"/>
      <c r="B22" s="17">
        <v>18</v>
      </c>
      <c r="C22" s="4"/>
      <c r="D22" s="4"/>
      <c r="E22" s="5"/>
      <c r="F22" s="4"/>
      <c r="G22" s="16">
        <f t="shared" si="0"/>
        <v>0</v>
      </c>
    </row>
    <row r="23" spans="1:12" ht="18" customHeight="1" x14ac:dyDescent="0.35">
      <c r="A23" s="7"/>
      <c r="B23" s="16">
        <v>19</v>
      </c>
      <c r="C23" s="4"/>
      <c r="D23" s="4"/>
      <c r="E23" s="5"/>
      <c r="F23" s="4"/>
      <c r="G23" s="16">
        <f t="shared" si="0"/>
        <v>0</v>
      </c>
    </row>
    <row r="24" spans="1:12" ht="18" customHeight="1" x14ac:dyDescent="0.35">
      <c r="A24" s="7"/>
      <c r="B24" s="9">
        <v>20</v>
      </c>
      <c r="C24" s="4"/>
      <c r="D24" s="4"/>
      <c r="E24" s="5"/>
      <c r="F24" s="4"/>
      <c r="G24" s="16">
        <f t="shared" si="0"/>
        <v>0</v>
      </c>
    </row>
    <row r="25" spans="1:12" ht="18" customHeight="1" x14ac:dyDescent="0.35">
      <c r="A25" s="7"/>
      <c r="B25" s="17">
        <v>21</v>
      </c>
      <c r="C25" s="4"/>
      <c r="D25" s="4"/>
      <c r="E25" s="5"/>
      <c r="F25" s="4"/>
      <c r="G25" s="16">
        <f t="shared" si="0"/>
        <v>0</v>
      </c>
    </row>
    <row r="26" spans="1:12" ht="18" customHeight="1" x14ac:dyDescent="0.35">
      <c r="A26" s="7"/>
      <c r="B26" s="16">
        <v>22</v>
      </c>
      <c r="C26" s="4"/>
      <c r="D26" s="4"/>
      <c r="E26" s="5"/>
      <c r="F26" s="4"/>
      <c r="G26" s="16">
        <f t="shared" si="0"/>
        <v>0</v>
      </c>
    </row>
    <row r="27" spans="1:12" ht="18" customHeight="1" x14ac:dyDescent="0.35">
      <c r="A27" s="7"/>
      <c r="B27" s="16">
        <v>23</v>
      </c>
      <c r="C27" s="4"/>
      <c r="D27" s="4"/>
      <c r="E27" s="5"/>
      <c r="F27" s="4"/>
      <c r="G27" s="16">
        <f t="shared" si="0"/>
        <v>0</v>
      </c>
    </row>
    <row r="28" spans="1:12" ht="18" customHeight="1" x14ac:dyDescent="0.35">
      <c r="A28" s="7"/>
      <c r="B28" s="16">
        <v>24</v>
      </c>
      <c r="C28" s="4"/>
      <c r="D28" s="4"/>
      <c r="E28" s="5"/>
      <c r="F28" s="4"/>
      <c r="G28" s="16">
        <f t="shared" si="0"/>
        <v>0</v>
      </c>
    </row>
    <row r="29" spans="1:12" ht="18" customHeight="1" thickBot="1" x14ac:dyDescent="0.4">
      <c r="A29" s="7"/>
      <c r="B29" s="16">
        <v>25</v>
      </c>
      <c r="C29" s="12"/>
      <c r="D29" s="12"/>
      <c r="E29" s="13"/>
      <c r="F29" s="12"/>
      <c r="G29" s="16">
        <f t="shared" si="0"/>
        <v>0</v>
      </c>
    </row>
    <row r="30" spans="1:12" ht="24" customHeight="1" thickTop="1" thickBot="1" x14ac:dyDescent="0.5">
      <c r="A30" s="7"/>
      <c r="B30" s="143" t="s">
        <v>1</v>
      </c>
      <c r="C30" s="144"/>
      <c r="D30" s="144"/>
      <c r="E30" s="144"/>
      <c r="F30" s="145"/>
      <c r="G30" s="2">
        <f>SUM(G5:G29)</f>
        <v>0</v>
      </c>
    </row>
    <row r="31" spans="1:12" ht="8.25" customHeight="1" thickTop="1" thickBot="1" x14ac:dyDescent="0.3">
      <c r="C31" s="1"/>
      <c r="D31" s="1"/>
      <c r="E31" s="1"/>
      <c r="F31" s="1"/>
      <c r="G31" s="1"/>
    </row>
    <row r="32" spans="1:12" ht="24.75" thickTop="1" thickBot="1" x14ac:dyDescent="0.4">
      <c r="C32" s="143" t="s">
        <v>7</v>
      </c>
      <c r="D32" s="145"/>
      <c r="E32" s="143"/>
      <c r="F32" s="145"/>
    </row>
    <row r="33" spans="3:6" ht="24.75" thickTop="1" thickBot="1" x14ac:dyDescent="0.4">
      <c r="C33" s="143" t="s">
        <v>12</v>
      </c>
      <c r="D33" s="145"/>
      <c r="E33" s="143"/>
      <c r="F33" s="145"/>
    </row>
    <row r="34" spans="3:6" ht="24.75" thickTop="1" thickBot="1" x14ac:dyDescent="0.4">
      <c r="C34" s="143" t="s">
        <v>8</v>
      </c>
      <c r="D34" s="145"/>
      <c r="E34" s="143">
        <f>E32+E33</f>
        <v>0</v>
      </c>
      <c r="F34" s="145"/>
    </row>
    <row r="35" spans="3:6" ht="15.75" thickTop="1" x14ac:dyDescent="0.25"/>
  </sheetData>
  <mergeCells count="10">
    <mergeCell ref="C33:D33"/>
    <mergeCell ref="E33:F33"/>
    <mergeCell ref="C34:D34"/>
    <mergeCell ref="E34:F34"/>
    <mergeCell ref="B1:G1"/>
    <mergeCell ref="B2:G2"/>
    <mergeCell ref="B3:G3"/>
    <mergeCell ref="B30:F30"/>
    <mergeCell ref="C32:D32"/>
    <mergeCell ref="E32:F3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rightToLeft="1" topLeftCell="A14" workbookViewId="0">
      <selection activeCell="A30" sqref="A30:XFD31"/>
    </sheetView>
  </sheetViews>
  <sheetFormatPr defaultRowHeight="15" x14ac:dyDescent="0.25"/>
  <cols>
    <col min="1" max="1" width="2.42578125" customWidth="1"/>
    <col min="2" max="2" width="4" customWidth="1"/>
    <col min="3" max="3" width="19.140625" customWidth="1"/>
    <col min="4" max="4" width="9.7109375" customWidth="1"/>
    <col min="5" max="5" width="10.140625" customWidth="1"/>
    <col min="6" max="6" width="15.85546875" customWidth="1"/>
    <col min="7" max="7" width="22.140625" customWidth="1"/>
    <col min="8" max="8" width="6.85546875" customWidth="1"/>
    <col min="9" max="9" width="23.140625" customWidth="1"/>
    <col min="10" max="10" width="27.42578125" customWidth="1"/>
  </cols>
  <sheetData>
    <row r="1" spans="1:12" ht="29.25" x14ac:dyDescent="0.5">
      <c r="A1" s="6"/>
      <c r="B1" s="152" t="s">
        <v>6</v>
      </c>
      <c r="C1" s="152"/>
      <c r="D1" s="152"/>
      <c r="E1" s="152"/>
      <c r="F1" s="152"/>
      <c r="G1" s="152"/>
      <c r="H1" s="34"/>
    </row>
    <row r="2" spans="1:12" ht="21" x14ac:dyDescent="0.35">
      <c r="A2" s="6"/>
      <c r="B2" s="146" t="s">
        <v>63</v>
      </c>
      <c r="C2" s="146"/>
      <c r="D2" s="146"/>
      <c r="E2" s="146"/>
      <c r="F2" s="146"/>
      <c r="G2" s="146"/>
      <c r="H2" s="33"/>
    </row>
    <row r="3" spans="1:12" ht="19.5" customHeight="1" thickBot="1" x14ac:dyDescent="0.4">
      <c r="A3" s="6"/>
      <c r="B3" s="147" t="s">
        <v>48</v>
      </c>
      <c r="C3" s="147"/>
      <c r="D3" s="147"/>
      <c r="E3" s="147"/>
      <c r="F3" s="147"/>
      <c r="G3" s="147"/>
      <c r="H3" s="42"/>
    </row>
    <row r="4" spans="1:12" ht="33" customHeight="1" thickTop="1" thickBot="1" x14ac:dyDescent="0.5">
      <c r="A4" s="7"/>
      <c r="B4" s="46" t="s">
        <v>5</v>
      </c>
      <c r="C4" s="47" t="s">
        <v>0</v>
      </c>
      <c r="D4" s="48" t="s">
        <v>14</v>
      </c>
      <c r="E4" s="49" t="s">
        <v>3</v>
      </c>
      <c r="F4" s="47" t="s">
        <v>2</v>
      </c>
      <c r="G4" s="47" t="s">
        <v>4</v>
      </c>
      <c r="H4" s="43"/>
    </row>
    <row r="5" spans="1:12" ht="18.75" customHeight="1" thickTop="1" thickBot="1" x14ac:dyDescent="0.4">
      <c r="A5" s="7"/>
      <c r="B5" s="50">
        <v>1</v>
      </c>
      <c r="C5" s="52" t="s">
        <v>16</v>
      </c>
      <c r="D5" s="53" t="s">
        <v>59</v>
      </c>
      <c r="E5" s="55">
        <v>3</v>
      </c>
      <c r="F5" s="53">
        <v>550</v>
      </c>
      <c r="G5" s="56">
        <f>F5*E5</f>
        <v>1650</v>
      </c>
      <c r="H5" s="44"/>
      <c r="I5" s="28" t="s">
        <v>15</v>
      </c>
      <c r="J5" s="28" t="s">
        <v>30</v>
      </c>
      <c r="K5" s="30" t="s">
        <v>59</v>
      </c>
      <c r="L5" s="30" t="s">
        <v>60</v>
      </c>
    </row>
    <row r="6" spans="1:12" ht="18.75" customHeight="1" thickTop="1" thickBot="1" x14ac:dyDescent="0.4">
      <c r="A6" s="7"/>
      <c r="B6" s="51">
        <v>2</v>
      </c>
      <c r="C6" s="52" t="s">
        <v>16</v>
      </c>
      <c r="D6" s="53" t="s">
        <v>54</v>
      </c>
      <c r="E6" s="55">
        <v>2</v>
      </c>
      <c r="F6" s="57">
        <v>580</v>
      </c>
      <c r="G6" s="58">
        <f>F6*E6</f>
        <v>1160</v>
      </c>
      <c r="H6" s="41"/>
      <c r="I6" s="29" t="s">
        <v>16</v>
      </c>
      <c r="J6" s="30" t="s">
        <v>31</v>
      </c>
      <c r="K6" s="30" t="s">
        <v>54</v>
      </c>
      <c r="L6" s="30">
        <v>2</v>
      </c>
    </row>
    <row r="7" spans="1:12" ht="18.75" customHeight="1" thickTop="1" thickBot="1" x14ac:dyDescent="0.4">
      <c r="A7" s="7"/>
      <c r="B7" s="50">
        <v>3</v>
      </c>
      <c r="C7" s="52" t="s">
        <v>16</v>
      </c>
      <c r="D7" s="53" t="s">
        <v>55</v>
      </c>
      <c r="E7" s="55">
        <v>5</v>
      </c>
      <c r="F7" s="53">
        <v>610</v>
      </c>
      <c r="G7" s="58">
        <f t="shared" ref="G7:G23" si="0">F7*E7</f>
        <v>3050</v>
      </c>
      <c r="H7" s="41"/>
      <c r="I7" s="28" t="s">
        <v>17</v>
      </c>
      <c r="J7" s="28" t="s">
        <v>32</v>
      </c>
      <c r="K7" s="30" t="s">
        <v>55</v>
      </c>
      <c r="L7" s="30">
        <v>4</v>
      </c>
    </row>
    <row r="8" spans="1:12" ht="18.75" customHeight="1" thickTop="1" thickBot="1" x14ac:dyDescent="0.4">
      <c r="A8" s="7"/>
      <c r="B8" s="51">
        <v>4</v>
      </c>
      <c r="C8" s="52" t="s">
        <v>16</v>
      </c>
      <c r="D8" s="53" t="s">
        <v>56</v>
      </c>
      <c r="E8" s="55">
        <v>3</v>
      </c>
      <c r="F8" s="57">
        <v>640</v>
      </c>
      <c r="G8" s="59">
        <f t="shared" si="0"/>
        <v>1920</v>
      </c>
      <c r="H8" s="41"/>
      <c r="I8" s="28" t="s">
        <v>18</v>
      </c>
      <c r="J8" s="31" t="s">
        <v>33</v>
      </c>
      <c r="K8" s="30" t="s">
        <v>56</v>
      </c>
      <c r="L8" s="30">
        <v>6</v>
      </c>
    </row>
    <row r="9" spans="1:12" ht="18.75" customHeight="1" thickTop="1" thickBot="1" x14ac:dyDescent="0.4">
      <c r="A9" s="7"/>
      <c r="B9" s="50">
        <v>5</v>
      </c>
      <c r="C9" s="52" t="s">
        <v>18</v>
      </c>
      <c r="D9" s="53" t="s">
        <v>54</v>
      </c>
      <c r="E9" s="55">
        <v>5</v>
      </c>
      <c r="F9" s="57">
        <v>670</v>
      </c>
      <c r="G9" s="59">
        <f t="shared" si="0"/>
        <v>3350</v>
      </c>
      <c r="H9" s="41"/>
      <c r="I9" s="28" t="s">
        <v>19</v>
      </c>
      <c r="J9" s="28" t="s">
        <v>34</v>
      </c>
      <c r="K9" s="30" t="s">
        <v>57</v>
      </c>
      <c r="L9" s="30">
        <v>8</v>
      </c>
    </row>
    <row r="10" spans="1:12" ht="18.75" customHeight="1" thickTop="1" thickBot="1" x14ac:dyDescent="0.4">
      <c r="A10" s="7"/>
      <c r="B10" s="51">
        <v>6</v>
      </c>
      <c r="C10" s="52" t="s">
        <v>18</v>
      </c>
      <c r="D10" s="53" t="s">
        <v>55</v>
      </c>
      <c r="E10" s="55">
        <v>4</v>
      </c>
      <c r="F10" s="57">
        <v>700</v>
      </c>
      <c r="G10" s="58">
        <f t="shared" si="0"/>
        <v>2800</v>
      </c>
      <c r="H10" s="41"/>
      <c r="I10" s="28" t="s">
        <v>20</v>
      </c>
      <c r="J10" s="28" t="s">
        <v>35</v>
      </c>
      <c r="K10" s="26" t="s">
        <v>52</v>
      </c>
      <c r="L10" s="30">
        <v>10</v>
      </c>
    </row>
    <row r="11" spans="1:12" ht="18.75" customHeight="1" thickTop="1" thickBot="1" x14ac:dyDescent="0.4">
      <c r="A11" s="7"/>
      <c r="B11" s="50">
        <v>7</v>
      </c>
      <c r="C11" s="52" t="s">
        <v>18</v>
      </c>
      <c r="D11" s="53" t="s">
        <v>56</v>
      </c>
      <c r="E11" s="55">
        <v>5</v>
      </c>
      <c r="F11" s="57">
        <v>730</v>
      </c>
      <c r="G11" s="58">
        <f t="shared" si="0"/>
        <v>3650</v>
      </c>
      <c r="H11" s="41"/>
      <c r="I11" s="28" t="s">
        <v>21</v>
      </c>
      <c r="J11" s="28" t="s">
        <v>36</v>
      </c>
      <c r="K11" s="26" t="s">
        <v>53</v>
      </c>
      <c r="L11" s="30">
        <v>12</v>
      </c>
    </row>
    <row r="12" spans="1:12" ht="18.75" customHeight="1" thickTop="1" thickBot="1" x14ac:dyDescent="0.4">
      <c r="A12" s="7"/>
      <c r="B12" s="51">
        <v>8</v>
      </c>
      <c r="C12" s="52" t="s">
        <v>20</v>
      </c>
      <c r="D12" s="53" t="s">
        <v>54</v>
      </c>
      <c r="E12" s="55">
        <v>2</v>
      </c>
      <c r="F12" s="57">
        <v>720</v>
      </c>
      <c r="G12" s="58">
        <f t="shared" si="0"/>
        <v>1440</v>
      </c>
      <c r="H12" s="41"/>
      <c r="I12" s="28" t="s">
        <v>22</v>
      </c>
      <c r="J12" s="28" t="s">
        <v>37</v>
      </c>
      <c r="K12" s="26" t="s">
        <v>61</v>
      </c>
      <c r="L12" s="30">
        <v>34</v>
      </c>
    </row>
    <row r="13" spans="1:12" ht="18.75" customHeight="1" thickTop="1" thickBot="1" x14ac:dyDescent="0.4">
      <c r="A13" s="7"/>
      <c r="B13" s="50">
        <v>9</v>
      </c>
      <c r="C13" s="52" t="s">
        <v>35</v>
      </c>
      <c r="D13" s="53" t="s">
        <v>55</v>
      </c>
      <c r="E13" s="55">
        <v>3</v>
      </c>
      <c r="F13" s="57">
        <v>1070</v>
      </c>
      <c r="G13" s="58">
        <f t="shared" si="0"/>
        <v>3210</v>
      </c>
      <c r="H13" s="41"/>
      <c r="I13" s="28" t="s">
        <v>23</v>
      </c>
      <c r="J13" s="28" t="s">
        <v>38</v>
      </c>
      <c r="K13" s="26" t="s">
        <v>62</v>
      </c>
      <c r="L13" s="30">
        <v>36</v>
      </c>
    </row>
    <row r="14" spans="1:12" ht="18.75" customHeight="1" thickTop="1" thickBot="1" x14ac:dyDescent="0.4">
      <c r="A14" s="7"/>
      <c r="B14" s="51">
        <v>10</v>
      </c>
      <c r="C14" s="52" t="s">
        <v>35</v>
      </c>
      <c r="D14" s="53" t="s">
        <v>57</v>
      </c>
      <c r="E14" s="55">
        <v>5</v>
      </c>
      <c r="F14" s="57">
        <v>1170</v>
      </c>
      <c r="G14" s="58">
        <f t="shared" si="0"/>
        <v>5850</v>
      </c>
      <c r="H14" s="41"/>
      <c r="I14" s="28" t="s">
        <v>24</v>
      </c>
      <c r="J14" s="28" t="s">
        <v>39</v>
      </c>
      <c r="K14" s="27"/>
      <c r="L14" s="30">
        <v>38</v>
      </c>
    </row>
    <row r="15" spans="1:12" ht="18.75" customHeight="1" thickTop="1" thickBot="1" x14ac:dyDescent="0.4">
      <c r="A15" s="7"/>
      <c r="B15" s="50">
        <v>11</v>
      </c>
      <c r="C15" s="52" t="s">
        <v>30</v>
      </c>
      <c r="D15" s="53" t="s">
        <v>55</v>
      </c>
      <c r="E15" s="55">
        <v>5</v>
      </c>
      <c r="F15" s="57">
        <v>400</v>
      </c>
      <c r="G15" s="58">
        <f t="shared" si="0"/>
        <v>2000</v>
      </c>
      <c r="H15" s="41"/>
      <c r="I15" s="28" t="s">
        <v>25</v>
      </c>
      <c r="J15" s="28" t="s">
        <v>40</v>
      </c>
      <c r="K15" s="27"/>
      <c r="L15" s="30">
        <v>40</v>
      </c>
    </row>
    <row r="16" spans="1:12" ht="18.75" customHeight="1" thickTop="1" thickBot="1" x14ac:dyDescent="0.4">
      <c r="A16" s="7"/>
      <c r="B16" s="51">
        <v>12</v>
      </c>
      <c r="C16" s="52" t="s">
        <v>30</v>
      </c>
      <c r="D16" s="53" t="s">
        <v>56</v>
      </c>
      <c r="E16" s="55">
        <v>5</v>
      </c>
      <c r="F16" s="57">
        <v>420</v>
      </c>
      <c r="G16" s="58">
        <f t="shared" si="0"/>
        <v>2100</v>
      </c>
      <c r="H16" s="41"/>
      <c r="I16" s="28" t="s">
        <v>28</v>
      </c>
      <c r="J16" s="28" t="s">
        <v>41</v>
      </c>
      <c r="K16" s="27"/>
      <c r="L16" s="30">
        <v>42</v>
      </c>
    </row>
    <row r="17" spans="1:12" ht="18.75" customHeight="1" thickTop="1" thickBot="1" x14ac:dyDescent="0.4">
      <c r="A17" s="7"/>
      <c r="B17" s="50">
        <v>13</v>
      </c>
      <c r="C17" s="52" t="s">
        <v>30</v>
      </c>
      <c r="D17" s="53" t="s">
        <v>57</v>
      </c>
      <c r="E17" s="58">
        <v>3</v>
      </c>
      <c r="F17" s="57">
        <v>440</v>
      </c>
      <c r="G17" s="58">
        <f t="shared" si="0"/>
        <v>1320</v>
      </c>
      <c r="H17" s="41"/>
      <c r="I17" s="28" t="s">
        <v>26</v>
      </c>
      <c r="J17" s="27"/>
      <c r="K17" s="27"/>
      <c r="L17" s="30">
        <v>44</v>
      </c>
    </row>
    <row r="18" spans="1:12" ht="18.75" customHeight="1" thickTop="1" thickBot="1" x14ac:dyDescent="0.4">
      <c r="A18" s="7"/>
      <c r="B18" s="51">
        <v>14</v>
      </c>
      <c r="C18" s="52" t="s">
        <v>30</v>
      </c>
      <c r="D18" s="54" t="s">
        <v>52</v>
      </c>
      <c r="E18" s="60">
        <v>3</v>
      </c>
      <c r="F18" s="57">
        <v>470</v>
      </c>
      <c r="G18" s="58">
        <f t="shared" si="0"/>
        <v>1410</v>
      </c>
      <c r="H18" s="41"/>
      <c r="I18" s="28" t="s">
        <v>27</v>
      </c>
      <c r="J18" s="27"/>
      <c r="K18" s="27"/>
      <c r="L18" s="27"/>
    </row>
    <row r="19" spans="1:12" ht="18.75" customHeight="1" thickTop="1" thickBot="1" x14ac:dyDescent="0.4">
      <c r="A19" s="7"/>
      <c r="B19" s="50">
        <v>15</v>
      </c>
      <c r="C19" s="52" t="s">
        <v>30</v>
      </c>
      <c r="D19" s="53" t="s">
        <v>53</v>
      </c>
      <c r="E19" s="58">
        <v>2</v>
      </c>
      <c r="F19" s="57">
        <v>500</v>
      </c>
      <c r="G19" s="58">
        <f t="shared" si="0"/>
        <v>1000</v>
      </c>
      <c r="H19" s="41"/>
      <c r="I19" s="28" t="s">
        <v>29</v>
      </c>
      <c r="J19" s="27"/>
    </row>
    <row r="20" spans="1:12" ht="18.75" customHeight="1" thickTop="1" thickBot="1" x14ac:dyDescent="0.4">
      <c r="A20" s="7"/>
      <c r="B20" s="51">
        <v>16</v>
      </c>
      <c r="C20" s="52" t="s">
        <v>30</v>
      </c>
      <c r="D20" s="53" t="s">
        <v>61</v>
      </c>
      <c r="E20" s="58">
        <v>5</v>
      </c>
      <c r="F20" s="57">
        <v>530</v>
      </c>
      <c r="G20" s="58">
        <f t="shared" si="0"/>
        <v>2650</v>
      </c>
      <c r="H20" s="45"/>
      <c r="I20" s="28"/>
      <c r="J20" s="27"/>
    </row>
    <row r="21" spans="1:12" ht="18.75" customHeight="1" thickTop="1" thickBot="1" x14ac:dyDescent="0.4">
      <c r="A21" s="7"/>
      <c r="B21" s="50">
        <v>17</v>
      </c>
      <c r="C21" s="52" t="s">
        <v>23</v>
      </c>
      <c r="D21" s="53">
        <v>2</v>
      </c>
      <c r="E21" s="58">
        <v>6</v>
      </c>
      <c r="F21" s="57">
        <v>278</v>
      </c>
      <c r="G21" s="58">
        <f t="shared" si="0"/>
        <v>1668</v>
      </c>
      <c r="H21" s="45"/>
      <c r="I21" s="28"/>
      <c r="J21" s="27"/>
    </row>
    <row r="22" spans="1:12" ht="18.75" customHeight="1" thickTop="1" thickBot="1" x14ac:dyDescent="0.4">
      <c r="A22" s="7"/>
      <c r="B22" s="51">
        <v>18</v>
      </c>
      <c r="C22" s="52" t="s">
        <v>23</v>
      </c>
      <c r="D22" s="53">
        <v>4</v>
      </c>
      <c r="E22" s="58">
        <v>4.5</v>
      </c>
      <c r="F22" s="57">
        <v>292</v>
      </c>
      <c r="G22" s="58">
        <f t="shared" si="0"/>
        <v>1314</v>
      </c>
      <c r="H22" s="45"/>
      <c r="I22" s="28"/>
      <c r="J22" s="27"/>
    </row>
    <row r="23" spans="1:12" ht="18.75" customHeight="1" thickTop="1" thickBot="1" x14ac:dyDescent="0.35">
      <c r="A23" s="7"/>
      <c r="B23" s="50">
        <v>19</v>
      </c>
      <c r="C23" s="52" t="s">
        <v>23</v>
      </c>
      <c r="D23" s="53">
        <v>6</v>
      </c>
      <c r="E23" s="58">
        <v>6</v>
      </c>
      <c r="F23" s="57">
        <v>306</v>
      </c>
      <c r="G23" s="58">
        <f t="shared" si="0"/>
        <v>1836</v>
      </c>
      <c r="H23" s="45"/>
      <c r="I23" s="27"/>
      <c r="J23" s="27"/>
    </row>
    <row r="24" spans="1:12" ht="33" customHeight="1" thickTop="1" thickBot="1" x14ac:dyDescent="0.5">
      <c r="A24" s="7"/>
      <c r="B24" s="14"/>
      <c r="C24" s="144" t="s">
        <v>1</v>
      </c>
      <c r="D24" s="144"/>
      <c r="E24" s="144"/>
      <c r="F24" s="145"/>
      <c r="G24" s="2">
        <f>SUM(G5:G23)</f>
        <v>43378</v>
      </c>
      <c r="H24" s="43"/>
    </row>
    <row r="25" spans="1:12" ht="18" customHeight="1" thickTop="1" thickBot="1" x14ac:dyDescent="0.3">
      <c r="C25" s="1"/>
      <c r="D25" s="1"/>
      <c r="E25" s="1"/>
      <c r="F25" s="1"/>
      <c r="G25" s="1"/>
      <c r="H25" s="1"/>
    </row>
    <row r="26" spans="1:12" ht="21" customHeight="1" thickTop="1" thickBot="1" x14ac:dyDescent="0.35">
      <c r="C26" s="26" t="s">
        <v>10</v>
      </c>
      <c r="D26" s="153">
        <v>45787</v>
      </c>
      <c r="E26" s="154"/>
      <c r="F26" s="1"/>
      <c r="G26" s="1"/>
      <c r="H26" s="1"/>
    </row>
    <row r="27" spans="1:12" ht="21" customHeight="1" thickTop="1" thickBot="1" x14ac:dyDescent="0.35">
      <c r="C27" s="26" t="s">
        <v>49</v>
      </c>
      <c r="D27" s="153">
        <v>43378</v>
      </c>
      <c r="E27" s="154"/>
      <c r="F27" s="1"/>
      <c r="G27" s="1"/>
      <c r="H27" s="1"/>
    </row>
    <row r="28" spans="1:12" ht="21" customHeight="1" thickTop="1" thickBot="1" x14ac:dyDescent="0.4">
      <c r="C28" s="26" t="s">
        <v>11</v>
      </c>
      <c r="D28" s="150">
        <f>D26+D27</f>
        <v>89165</v>
      </c>
      <c r="E28" s="151"/>
    </row>
    <row r="29" spans="1:12" ht="15.75" thickTop="1" x14ac:dyDescent="0.25"/>
  </sheetData>
  <mergeCells count="7">
    <mergeCell ref="D28:E28"/>
    <mergeCell ref="B1:G1"/>
    <mergeCell ref="B2:G2"/>
    <mergeCell ref="B3:G3"/>
    <mergeCell ref="C24:F24"/>
    <mergeCell ref="D26:E26"/>
    <mergeCell ref="D27:E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rightToLeft="1" topLeftCell="A14" workbookViewId="0">
      <selection activeCell="A23" sqref="A23:XFD23"/>
    </sheetView>
  </sheetViews>
  <sheetFormatPr defaultRowHeight="15" x14ac:dyDescent="0.25"/>
  <cols>
    <col min="1" max="1" width="2.42578125" customWidth="1"/>
    <col min="2" max="2" width="4" customWidth="1"/>
    <col min="3" max="3" width="19.140625" customWidth="1"/>
    <col min="4" max="4" width="9.7109375" customWidth="1"/>
    <col min="5" max="5" width="10.140625" customWidth="1"/>
    <col min="6" max="6" width="15.85546875" customWidth="1"/>
    <col min="7" max="7" width="22.140625" customWidth="1"/>
    <col min="8" max="8" width="6.85546875" customWidth="1"/>
    <col min="9" max="9" width="23.140625" customWidth="1"/>
    <col min="10" max="10" width="27.42578125" customWidth="1"/>
  </cols>
  <sheetData>
    <row r="1" spans="1:12" ht="29.25" x14ac:dyDescent="0.5">
      <c r="A1" s="6"/>
      <c r="B1" s="152" t="s">
        <v>6</v>
      </c>
      <c r="C1" s="152"/>
      <c r="D1" s="152"/>
      <c r="E1" s="152"/>
      <c r="F1" s="152"/>
      <c r="G1" s="152"/>
      <c r="H1" s="130"/>
    </row>
    <row r="2" spans="1:12" ht="21" x14ac:dyDescent="0.35">
      <c r="A2" s="6"/>
      <c r="B2" s="146" t="s">
        <v>63</v>
      </c>
      <c r="C2" s="146"/>
      <c r="D2" s="146"/>
      <c r="E2" s="146"/>
      <c r="F2" s="146"/>
      <c r="G2" s="146"/>
      <c r="H2" s="129"/>
    </row>
    <row r="3" spans="1:12" ht="19.5" customHeight="1" thickBot="1" x14ac:dyDescent="0.4">
      <c r="A3" s="6"/>
      <c r="B3" s="147" t="s">
        <v>48</v>
      </c>
      <c r="C3" s="147"/>
      <c r="D3" s="147"/>
      <c r="E3" s="147"/>
      <c r="F3" s="147"/>
      <c r="G3" s="147"/>
      <c r="H3" s="42"/>
    </row>
    <row r="4" spans="1:12" ht="33" customHeight="1" thickTop="1" thickBot="1" x14ac:dyDescent="0.5">
      <c r="A4" s="7"/>
      <c r="B4" s="46" t="s">
        <v>5</v>
      </c>
      <c r="C4" s="47" t="s">
        <v>0</v>
      </c>
      <c r="D4" s="48" t="s">
        <v>14</v>
      </c>
      <c r="E4" s="49" t="s">
        <v>3</v>
      </c>
      <c r="F4" s="47" t="s">
        <v>2</v>
      </c>
      <c r="G4" s="47" t="s">
        <v>4</v>
      </c>
      <c r="H4" s="43"/>
    </row>
    <row r="5" spans="1:12" ht="18.75" customHeight="1" thickTop="1" thickBot="1" x14ac:dyDescent="0.4">
      <c r="A5" s="7"/>
      <c r="B5" s="50">
        <v>1</v>
      </c>
      <c r="C5" s="52" t="s">
        <v>16</v>
      </c>
      <c r="D5" s="53" t="s">
        <v>59</v>
      </c>
      <c r="E5" s="55">
        <v>3</v>
      </c>
      <c r="F5" s="53">
        <v>550</v>
      </c>
      <c r="G5" s="56">
        <f>F5*E5</f>
        <v>1650</v>
      </c>
      <c r="H5" s="44"/>
      <c r="I5" s="28" t="s">
        <v>15</v>
      </c>
      <c r="J5" s="28" t="s">
        <v>30</v>
      </c>
      <c r="K5" s="30" t="s">
        <v>59</v>
      </c>
      <c r="L5" s="30" t="s">
        <v>60</v>
      </c>
    </row>
    <row r="6" spans="1:12" ht="18.75" customHeight="1" thickTop="1" thickBot="1" x14ac:dyDescent="0.4">
      <c r="A6" s="7"/>
      <c r="B6" s="51">
        <v>2</v>
      </c>
      <c r="C6" s="52" t="s">
        <v>16</v>
      </c>
      <c r="D6" s="53" t="s">
        <v>54</v>
      </c>
      <c r="E6" s="55">
        <v>2</v>
      </c>
      <c r="F6" s="57">
        <v>580</v>
      </c>
      <c r="G6" s="58">
        <f>F6*E6</f>
        <v>1160</v>
      </c>
      <c r="H6" s="41"/>
      <c r="I6" s="29" t="s">
        <v>16</v>
      </c>
      <c r="J6" s="30" t="s">
        <v>31</v>
      </c>
      <c r="K6" s="30" t="s">
        <v>54</v>
      </c>
      <c r="L6" s="30">
        <v>2</v>
      </c>
    </row>
    <row r="7" spans="1:12" ht="18.75" customHeight="1" thickTop="1" thickBot="1" x14ac:dyDescent="0.4">
      <c r="A7" s="7"/>
      <c r="B7" s="50">
        <v>3</v>
      </c>
      <c r="C7" s="52" t="s">
        <v>16</v>
      </c>
      <c r="D7" s="53" t="s">
        <v>55</v>
      </c>
      <c r="E7" s="55">
        <v>5</v>
      </c>
      <c r="F7" s="53">
        <v>610</v>
      </c>
      <c r="G7" s="58">
        <f t="shared" ref="G7:G22" si="0">F7*E7</f>
        <v>3050</v>
      </c>
      <c r="H7" s="41"/>
      <c r="I7" s="28" t="s">
        <v>17</v>
      </c>
      <c r="J7" s="28" t="s">
        <v>32</v>
      </c>
      <c r="K7" s="30" t="s">
        <v>55</v>
      </c>
      <c r="L7" s="30">
        <v>4</v>
      </c>
    </row>
    <row r="8" spans="1:12" ht="18.75" customHeight="1" thickTop="1" thickBot="1" x14ac:dyDescent="0.4">
      <c r="A8" s="7"/>
      <c r="B8" s="51">
        <v>4</v>
      </c>
      <c r="C8" s="52" t="s">
        <v>16</v>
      </c>
      <c r="D8" s="53" t="s">
        <v>56</v>
      </c>
      <c r="E8" s="55">
        <v>3</v>
      </c>
      <c r="F8" s="57">
        <v>640</v>
      </c>
      <c r="G8" s="59">
        <f t="shared" si="0"/>
        <v>1920</v>
      </c>
      <c r="H8" s="41"/>
      <c r="I8" s="28" t="s">
        <v>18</v>
      </c>
      <c r="J8" s="31" t="s">
        <v>33</v>
      </c>
      <c r="K8" s="30" t="s">
        <v>56</v>
      </c>
      <c r="L8" s="30">
        <v>6</v>
      </c>
    </row>
    <row r="9" spans="1:12" ht="18.75" customHeight="1" thickTop="1" thickBot="1" x14ac:dyDescent="0.4">
      <c r="A9" s="7"/>
      <c r="B9" s="50">
        <v>5</v>
      </c>
      <c r="C9" s="52" t="s">
        <v>18</v>
      </c>
      <c r="D9" s="53" t="s">
        <v>54</v>
      </c>
      <c r="E9" s="55">
        <v>5</v>
      </c>
      <c r="F9" s="57">
        <v>670</v>
      </c>
      <c r="G9" s="59">
        <f t="shared" si="0"/>
        <v>3350</v>
      </c>
      <c r="H9" s="41"/>
      <c r="I9" s="28" t="s">
        <v>19</v>
      </c>
      <c r="J9" s="28" t="s">
        <v>34</v>
      </c>
      <c r="K9" s="30" t="s">
        <v>57</v>
      </c>
      <c r="L9" s="30">
        <v>8</v>
      </c>
    </row>
    <row r="10" spans="1:12" ht="18.75" customHeight="1" thickTop="1" thickBot="1" x14ac:dyDescent="0.4">
      <c r="A10" s="7"/>
      <c r="B10" s="51">
        <v>6</v>
      </c>
      <c r="C10" s="52" t="s">
        <v>18</v>
      </c>
      <c r="D10" s="53" t="s">
        <v>55</v>
      </c>
      <c r="E10" s="55">
        <v>4</v>
      </c>
      <c r="F10" s="57">
        <v>700</v>
      </c>
      <c r="G10" s="58">
        <f t="shared" si="0"/>
        <v>2800</v>
      </c>
      <c r="H10" s="41"/>
      <c r="I10" s="28" t="s">
        <v>20</v>
      </c>
      <c r="J10" s="28" t="s">
        <v>35</v>
      </c>
      <c r="K10" s="26" t="s">
        <v>52</v>
      </c>
      <c r="L10" s="30">
        <v>10</v>
      </c>
    </row>
    <row r="11" spans="1:12" ht="18.75" customHeight="1" thickTop="1" thickBot="1" x14ac:dyDescent="0.4">
      <c r="A11" s="7"/>
      <c r="B11" s="50">
        <v>7</v>
      </c>
      <c r="C11" s="52" t="s">
        <v>18</v>
      </c>
      <c r="D11" s="53" t="s">
        <v>56</v>
      </c>
      <c r="E11" s="55">
        <v>5</v>
      </c>
      <c r="F11" s="57">
        <v>730</v>
      </c>
      <c r="G11" s="58">
        <f t="shared" si="0"/>
        <v>3650</v>
      </c>
      <c r="H11" s="41"/>
      <c r="I11" s="28" t="s">
        <v>21</v>
      </c>
      <c r="J11" s="28" t="s">
        <v>36</v>
      </c>
      <c r="K11" s="26" t="s">
        <v>53</v>
      </c>
      <c r="L11" s="30">
        <v>12</v>
      </c>
    </row>
    <row r="12" spans="1:12" ht="18.75" customHeight="1" thickTop="1" thickBot="1" x14ac:dyDescent="0.4">
      <c r="A12" s="7"/>
      <c r="B12" s="51">
        <v>8</v>
      </c>
      <c r="C12" s="52" t="s">
        <v>20</v>
      </c>
      <c r="D12" s="53" t="s">
        <v>54</v>
      </c>
      <c r="E12" s="55">
        <v>2</v>
      </c>
      <c r="F12" s="57">
        <v>720</v>
      </c>
      <c r="G12" s="58">
        <f t="shared" si="0"/>
        <v>1440</v>
      </c>
      <c r="H12" s="41"/>
      <c r="I12" s="28" t="s">
        <v>22</v>
      </c>
      <c r="J12" s="28" t="s">
        <v>37</v>
      </c>
      <c r="K12" s="26" t="s">
        <v>61</v>
      </c>
      <c r="L12" s="30">
        <v>34</v>
      </c>
    </row>
    <row r="13" spans="1:12" ht="18.75" customHeight="1" thickTop="1" thickBot="1" x14ac:dyDescent="0.4">
      <c r="A13" s="7"/>
      <c r="B13" s="50">
        <v>9</v>
      </c>
      <c r="C13" s="52" t="s">
        <v>35</v>
      </c>
      <c r="D13" s="53" t="s">
        <v>55</v>
      </c>
      <c r="E13" s="55">
        <v>3</v>
      </c>
      <c r="F13" s="57">
        <v>1070</v>
      </c>
      <c r="G13" s="58">
        <f t="shared" si="0"/>
        <v>3210</v>
      </c>
      <c r="H13" s="41"/>
      <c r="I13" s="28" t="s">
        <v>23</v>
      </c>
      <c r="J13" s="28" t="s">
        <v>38</v>
      </c>
      <c r="K13" s="26" t="s">
        <v>62</v>
      </c>
      <c r="L13" s="30">
        <v>36</v>
      </c>
    </row>
    <row r="14" spans="1:12" ht="18.75" customHeight="1" thickTop="1" thickBot="1" x14ac:dyDescent="0.4">
      <c r="A14" s="7"/>
      <c r="B14" s="51">
        <v>10</v>
      </c>
      <c r="C14" s="52" t="s">
        <v>35</v>
      </c>
      <c r="D14" s="53" t="s">
        <v>57</v>
      </c>
      <c r="E14" s="55">
        <v>5</v>
      </c>
      <c r="F14" s="57">
        <v>1170</v>
      </c>
      <c r="G14" s="58">
        <f t="shared" si="0"/>
        <v>5850</v>
      </c>
      <c r="H14" s="41"/>
      <c r="I14" s="28" t="s">
        <v>24</v>
      </c>
      <c r="J14" s="28" t="s">
        <v>39</v>
      </c>
      <c r="K14" s="27"/>
      <c r="L14" s="30">
        <v>38</v>
      </c>
    </row>
    <row r="15" spans="1:12" ht="18.75" customHeight="1" thickTop="1" thickBot="1" x14ac:dyDescent="0.4">
      <c r="A15" s="7"/>
      <c r="B15" s="50">
        <v>11</v>
      </c>
      <c r="C15" s="52" t="s">
        <v>30</v>
      </c>
      <c r="D15" s="53" t="s">
        <v>55</v>
      </c>
      <c r="E15" s="55">
        <v>5</v>
      </c>
      <c r="F15" s="57">
        <v>400</v>
      </c>
      <c r="G15" s="58">
        <f t="shared" si="0"/>
        <v>2000</v>
      </c>
      <c r="H15" s="41"/>
      <c r="I15" s="28" t="s">
        <v>25</v>
      </c>
      <c r="J15" s="28" t="s">
        <v>40</v>
      </c>
      <c r="K15" s="27"/>
      <c r="L15" s="30">
        <v>40</v>
      </c>
    </row>
    <row r="16" spans="1:12" ht="18.75" customHeight="1" thickTop="1" thickBot="1" x14ac:dyDescent="0.4">
      <c r="A16" s="7"/>
      <c r="B16" s="51">
        <v>12</v>
      </c>
      <c r="C16" s="52" t="s">
        <v>30</v>
      </c>
      <c r="D16" s="53" t="s">
        <v>56</v>
      </c>
      <c r="E16" s="55">
        <v>5</v>
      </c>
      <c r="F16" s="57">
        <v>420</v>
      </c>
      <c r="G16" s="58">
        <f t="shared" si="0"/>
        <v>2100</v>
      </c>
      <c r="H16" s="41"/>
      <c r="I16" s="28" t="s">
        <v>28</v>
      </c>
      <c r="J16" s="28" t="s">
        <v>41</v>
      </c>
      <c r="K16" s="27"/>
      <c r="L16" s="30">
        <v>42</v>
      </c>
    </row>
    <row r="17" spans="1:12" ht="18.75" customHeight="1" thickTop="1" thickBot="1" x14ac:dyDescent="0.4">
      <c r="A17" s="7"/>
      <c r="B17" s="50">
        <v>13</v>
      </c>
      <c r="C17" s="52" t="s">
        <v>30</v>
      </c>
      <c r="D17" s="53" t="s">
        <v>57</v>
      </c>
      <c r="E17" s="58">
        <v>3</v>
      </c>
      <c r="F17" s="57">
        <v>440</v>
      </c>
      <c r="G17" s="58">
        <f t="shared" si="0"/>
        <v>1320</v>
      </c>
      <c r="H17" s="41"/>
      <c r="I17" s="28" t="s">
        <v>26</v>
      </c>
      <c r="J17" s="27"/>
      <c r="K17" s="27"/>
      <c r="L17" s="30">
        <v>44</v>
      </c>
    </row>
    <row r="18" spans="1:12" ht="18.75" customHeight="1" thickTop="1" thickBot="1" x14ac:dyDescent="0.4">
      <c r="A18" s="7"/>
      <c r="B18" s="51">
        <v>14</v>
      </c>
      <c r="C18" s="52" t="s">
        <v>30</v>
      </c>
      <c r="D18" s="54" t="s">
        <v>52</v>
      </c>
      <c r="E18" s="60">
        <v>3</v>
      </c>
      <c r="F18" s="57">
        <v>470</v>
      </c>
      <c r="G18" s="58">
        <f t="shared" si="0"/>
        <v>1410</v>
      </c>
      <c r="H18" s="41"/>
      <c r="I18" s="28" t="s">
        <v>27</v>
      </c>
      <c r="J18" s="27"/>
      <c r="K18" s="27"/>
      <c r="L18" s="27"/>
    </row>
    <row r="19" spans="1:12" ht="18.75" customHeight="1" thickTop="1" thickBot="1" x14ac:dyDescent="0.4">
      <c r="A19" s="7"/>
      <c r="B19" s="50">
        <v>15</v>
      </c>
      <c r="C19" s="52" t="s">
        <v>30</v>
      </c>
      <c r="D19" s="53" t="s">
        <v>53</v>
      </c>
      <c r="E19" s="58">
        <v>2</v>
      </c>
      <c r="F19" s="57">
        <v>500</v>
      </c>
      <c r="G19" s="58">
        <f t="shared" si="0"/>
        <v>1000</v>
      </c>
      <c r="H19" s="41"/>
      <c r="I19" s="28" t="s">
        <v>29</v>
      </c>
      <c r="J19" s="27"/>
    </row>
    <row r="20" spans="1:12" ht="18.75" customHeight="1" thickTop="1" thickBot="1" x14ac:dyDescent="0.4">
      <c r="A20" s="7"/>
      <c r="B20" s="51">
        <v>16</v>
      </c>
      <c r="C20" s="52" t="s">
        <v>30</v>
      </c>
      <c r="D20" s="53" t="s">
        <v>61</v>
      </c>
      <c r="E20" s="58">
        <v>5</v>
      </c>
      <c r="F20" s="57">
        <v>530</v>
      </c>
      <c r="G20" s="58">
        <f t="shared" si="0"/>
        <v>2650</v>
      </c>
      <c r="H20" s="45"/>
      <c r="I20" s="28"/>
      <c r="J20" s="27"/>
    </row>
    <row r="21" spans="1:12" ht="18.75" customHeight="1" thickTop="1" thickBot="1" x14ac:dyDescent="0.4">
      <c r="A21" s="7"/>
      <c r="B21" s="50">
        <v>17</v>
      </c>
      <c r="C21" s="52" t="s">
        <v>23</v>
      </c>
      <c r="D21" s="53">
        <v>2</v>
      </c>
      <c r="E21" s="58">
        <v>6</v>
      </c>
      <c r="F21" s="57">
        <v>278</v>
      </c>
      <c r="G21" s="58">
        <f t="shared" si="0"/>
        <v>1668</v>
      </c>
      <c r="H21" s="45"/>
      <c r="I21" s="28"/>
      <c r="J21" s="27"/>
    </row>
    <row r="22" spans="1:12" ht="18.75" customHeight="1" thickTop="1" thickBot="1" x14ac:dyDescent="0.4">
      <c r="A22" s="7"/>
      <c r="B22" s="51">
        <v>18</v>
      </c>
      <c r="C22" s="52" t="s">
        <v>23</v>
      </c>
      <c r="D22" s="53">
        <v>4</v>
      </c>
      <c r="E22" s="58">
        <v>4.5</v>
      </c>
      <c r="F22" s="57">
        <v>292</v>
      </c>
      <c r="G22" s="58">
        <f t="shared" si="0"/>
        <v>1314</v>
      </c>
      <c r="H22" s="45"/>
      <c r="I22" s="28"/>
      <c r="J22" s="27"/>
    </row>
    <row r="23" spans="1:12" ht="33" customHeight="1" thickTop="1" thickBot="1" x14ac:dyDescent="0.5">
      <c r="A23" s="7"/>
      <c r="B23" s="14"/>
      <c r="C23" s="144" t="s">
        <v>1</v>
      </c>
      <c r="D23" s="144"/>
      <c r="E23" s="144"/>
      <c r="F23" s="145"/>
      <c r="G23" s="2">
        <f>SUM(G5:G22)</f>
        <v>41542</v>
      </c>
      <c r="H23" s="43"/>
    </row>
    <row r="24" spans="1:12" ht="18" customHeight="1" thickTop="1" thickBot="1" x14ac:dyDescent="0.3">
      <c r="C24" s="1"/>
      <c r="D24" s="1"/>
      <c r="E24" s="1"/>
      <c r="F24" s="1"/>
      <c r="G24" s="1"/>
      <c r="H24" s="1"/>
    </row>
    <row r="25" spans="1:12" ht="21" customHeight="1" thickTop="1" thickBot="1" x14ac:dyDescent="0.35">
      <c r="C25" s="26" t="s">
        <v>10</v>
      </c>
      <c r="D25" s="153">
        <v>45787</v>
      </c>
      <c r="E25" s="154"/>
      <c r="F25" s="1"/>
      <c r="G25" s="1"/>
      <c r="H25" s="1"/>
    </row>
    <row r="26" spans="1:12" ht="21" customHeight="1" thickTop="1" thickBot="1" x14ac:dyDescent="0.35">
      <c r="C26" s="26" t="s">
        <v>49</v>
      </c>
      <c r="D26" s="153">
        <v>43378</v>
      </c>
      <c r="E26" s="154"/>
      <c r="F26" s="1"/>
      <c r="G26" s="1"/>
      <c r="H26" s="1"/>
    </row>
    <row r="27" spans="1:12" ht="21" customHeight="1" thickTop="1" thickBot="1" x14ac:dyDescent="0.4">
      <c r="C27" s="26" t="s">
        <v>11</v>
      </c>
      <c r="D27" s="150">
        <f>D25+D26</f>
        <v>89165</v>
      </c>
      <c r="E27" s="151"/>
    </row>
    <row r="28" spans="1:12" ht="15.75" thickTop="1" x14ac:dyDescent="0.25"/>
  </sheetData>
  <mergeCells count="7">
    <mergeCell ref="D27:E27"/>
    <mergeCell ref="B1:G1"/>
    <mergeCell ref="B2:G2"/>
    <mergeCell ref="B3:G3"/>
    <mergeCell ref="C23:F23"/>
    <mergeCell ref="D25:E25"/>
    <mergeCell ref="D26:E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rightToLeft="1" workbookViewId="0">
      <selection activeCell="C11" sqref="C11"/>
    </sheetView>
  </sheetViews>
  <sheetFormatPr defaultRowHeight="15" x14ac:dyDescent="0.25"/>
  <cols>
    <col min="1" max="1" width="2.42578125" customWidth="1"/>
    <col min="2" max="2" width="4" customWidth="1"/>
    <col min="3" max="3" width="19.140625" customWidth="1"/>
    <col min="4" max="4" width="9.7109375" customWidth="1"/>
    <col min="5" max="5" width="10.140625" customWidth="1"/>
    <col min="6" max="6" width="15.85546875" customWidth="1"/>
    <col min="7" max="7" width="22.140625" customWidth="1"/>
    <col min="8" max="8" width="6.140625" customWidth="1"/>
    <col min="9" max="9" width="23.140625" customWidth="1"/>
    <col min="10" max="10" width="27.42578125" customWidth="1"/>
  </cols>
  <sheetData>
    <row r="1" spans="1:12" ht="29.25" x14ac:dyDescent="0.5">
      <c r="A1" s="6"/>
      <c r="B1" s="152" t="s">
        <v>6</v>
      </c>
      <c r="C1" s="152"/>
      <c r="D1" s="152"/>
      <c r="E1" s="152"/>
      <c r="F1" s="152"/>
      <c r="G1" s="152"/>
    </row>
    <row r="2" spans="1:12" ht="21" x14ac:dyDescent="0.35">
      <c r="A2" s="6"/>
      <c r="B2" s="146" t="s">
        <v>50</v>
      </c>
      <c r="C2" s="146"/>
      <c r="D2" s="146"/>
      <c r="E2" s="146"/>
      <c r="F2" s="146"/>
      <c r="G2" s="146"/>
    </row>
    <row r="3" spans="1:12" ht="19.5" customHeight="1" thickBot="1" x14ac:dyDescent="0.4">
      <c r="A3" s="6"/>
      <c r="B3" s="147" t="s">
        <v>48</v>
      </c>
      <c r="C3" s="147"/>
      <c r="D3" s="147"/>
      <c r="E3" s="147"/>
      <c r="F3" s="147"/>
      <c r="G3" s="147"/>
    </row>
    <row r="4" spans="1:12" ht="33" customHeight="1" thickTop="1" thickBot="1" x14ac:dyDescent="0.5">
      <c r="A4" s="7"/>
      <c r="B4" s="19" t="s">
        <v>5</v>
      </c>
      <c r="C4" s="3" t="s">
        <v>0</v>
      </c>
      <c r="D4" s="25" t="s">
        <v>14</v>
      </c>
      <c r="E4" s="2" t="s">
        <v>3</v>
      </c>
      <c r="F4" s="3" t="s">
        <v>2</v>
      </c>
      <c r="G4" s="3" t="s">
        <v>4</v>
      </c>
    </row>
    <row r="5" spans="1:12" ht="18.75" customHeight="1" thickTop="1" thickBot="1" x14ac:dyDescent="0.4">
      <c r="A5" s="7"/>
      <c r="B5" s="15">
        <v>1</v>
      </c>
      <c r="C5" s="8" t="s">
        <v>23</v>
      </c>
      <c r="D5" s="8" t="s">
        <v>51</v>
      </c>
      <c r="E5" s="9">
        <v>6</v>
      </c>
      <c r="F5" s="8">
        <v>264</v>
      </c>
      <c r="G5" s="10">
        <f>F5*E5</f>
        <v>1584</v>
      </c>
      <c r="I5" s="28" t="s">
        <v>15</v>
      </c>
      <c r="J5" s="28" t="s">
        <v>30</v>
      </c>
      <c r="K5" s="30" t="s">
        <v>59</v>
      </c>
      <c r="L5" s="30" t="s">
        <v>60</v>
      </c>
    </row>
    <row r="6" spans="1:12" ht="18.75" customHeight="1" thickTop="1" thickBot="1" x14ac:dyDescent="0.4">
      <c r="A6" s="7"/>
      <c r="B6" s="16">
        <v>2</v>
      </c>
      <c r="C6" s="8" t="s">
        <v>19</v>
      </c>
      <c r="D6" s="8" t="s">
        <v>52</v>
      </c>
      <c r="E6" s="9">
        <v>5</v>
      </c>
      <c r="F6" s="4">
        <v>910</v>
      </c>
      <c r="G6" s="11">
        <f>F6*E6</f>
        <v>4550</v>
      </c>
      <c r="I6" s="29" t="s">
        <v>16</v>
      </c>
      <c r="J6" s="30" t="s">
        <v>31</v>
      </c>
      <c r="K6" s="30" t="s">
        <v>54</v>
      </c>
      <c r="L6" s="30">
        <v>2</v>
      </c>
    </row>
    <row r="7" spans="1:12" ht="18.75" customHeight="1" thickTop="1" thickBot="1" x14ac:dyDescent="0.4">
      <c r="A7" s="7"/>
      <c r="B7" s="15">
        <v>3</v>
      </c>
      <c r="C7" s="8" t="s">
        <v>19</v>
      </c>
      <c r="D7" s="8" t="s">
        <v>53</v>
      </c>
      <c r="E7" s="9">
        <v>5</v>
      </c>
      <c r="F7" s="4">
        <v>980</v>
      </c>
      <c r="G7" s="11">
        <f t="shared" ref="G7:G20" si="0">F7*E7</f>
        <v>4900</v>
      </c>
      <c r="I7" s="28" t="s">
        <v>17</v>
      </c>
      <c r="J7" s="28" t="s">
        <v>32</v>
      </c>
      <c r="K7" s="30" t="s">
        <v>55</v>
      </c>
      <c r="L7" s="30">
        <v>4</v>
      </c>
    </row>
    <row r="8" spans="1:12" ht="18.75" customHeight="1" thickTop="1" thickBot="1" x14ac:dyDescent="0.4">
      <c r="A8" s="7"/>
      <c r="B8" s="16">
        <v>4</v>
      </c>
      <c r="C8" s="8" t="s">
        <v>15</v>
      </c>
      <c r="D8" s="8" t="s">
        <v>54</v>
      </c>
      <c r="E8" s="9">
        <v>5</v>
      </c>
      <c r="F8" s="4">
        <v>550</v>
      </c>
      <c r="G8" s="11">
        <f t="shared" si="0"/>
        <v>2750</v>
      </c>
      <c r="I8" s="28" t="s">
        <v>18</v>
      </c>
      <c r="J8" s="31" t="s">
        <v>33</v>
      </c>
      <c r="K8" s="30" t="s">
        <v>56</v>
      </c>
      <c r="L8" s="30">
        <v>6</v>
      </c>
    </row>
    <row r="9" spans="1:12" ht="18.75" customHeight="1" thickTop="1" thickBot="1" x14ac:dyDescent="0.4">
      <c r="A9" s="7"/>
      <c r="B9" s="15">
        <v>5</v>
      </c>
      <c r="C9" s="8" t="s">
        <v>15</v>
      </c>
      <c r="D9" s="8" t="s">
        <v>55</v>
      </c>
      <c r="E9" s="9">
        <v>5</v>
      </c>
      <c r="F9" s="4">
        <v>580</v>
      </c>
      <c r="G9" s="11">
        <f t="shared" si="0"/>
        <v>2900</v>
      </c>
      <c r="I9" s="28" t="s">
        <v>19</v>
      </c>
      <c r="J9" s="28" t="s">
        <v>34</v>
      </c>
      <c r="K9" s="30" t="s">
        <v>57</v>
      </c>
      <c r="L9" s="30">
        <v>8</v>
      </c>
    </row>
    <row r="10" spans="1:12" ht="18.75" customHeight="1" thickTop="1" thickBot="1" x14ac:dyDescent="0.4">
      <c r="A10" s="7"/>
      <c r="B10" s="16">
        <v>6</v>
      </c>
      <c r="C10" s="8" t="s">
        <v>15</v>
      </c>
      <c r="D10" s="8" t="s">
        <v>56</v>
      </c>
      <c r="E10" s="9">
        <v>5</v>
      </c>
      <c r="F10" s="4">
        <v>610</v>
      </c>
      <c r="G10" s="11">
        <f t="shared" si="0"/>
        <v>3050</v>
      </c>
      <c r="I10" s="28" t="s">
        <v>20</v>
      </c>
      <c r="J10" s="28" t="s">
        <v>35</v>
      </c>
      <c r="K10" s="26" t="s">
        <v>52</v>
      </c>
      <c r="L10" s="30">
        <v>10</v>
      </c>
    </row>
    <row r="11" spans="1:12" ht="18.75" customHeight="1" thickTop="1" thickBot="1" x14ac:dyDescent="0.4">
      <c r="A11" s="7"/>
      <c r="B11" s="15">
        <v>7</v>
      </c>
      <c r="C11" s="8" t="s">
        <v>15</v>
      </c>
      <c r="D11" s="8" t="s">
        <v>57</v>
      </c>
      <c r="E11" s="9">
        <v>4</v>
      </c>
      <c r="F11" s="4">
        <v>640</v>
      </c>
      <c r="G11" s="11">
        <f t="shared" si="0"/>
        <v>2560</v>
      </c>
      <c r="I11" s="28" t="s">
        <v>21</v>
      </c>
      <c r="J11" s="28" t="s">
        <v>36</v>
      </c>
      <c r="K11" s="26" t="s">
        <v>53</v>
      </c>
      <c r="L11" s="30">
        <v>12</v>
      </c>
    </row>
    <row r="12" spans="1:12" ht="18.75" customHeight="1" thickTop="1" thickBot="1" x14ac:dyDescent="0.4">
      <c r="A12" s="7"/>
      <c r="B12" s="16">
        <v>8</v>
      </c>
      <c r="C12" s="8" t="s">
        <v>17</v>
      </c>
      <c r="D12" s="8" t="s">
        <v>54</v>
      </c>
      <c r="E12" s="9">
        <v>5</v>
      </c>
      <c r="F12" s="4">
        <v>620</v>
      </c>
      <c r="G12" s="11">
        <f t="shared" si="0"/>
        <v>3100</v>
      </c>
      <c r="I12" s="28" t="s">
        <v>22</v>
      </c>
      <c r="J12" s="28" t="s">
        <v>37</v>
      </c>
      <c r="K12" s="26" t="s">
        <v>61</v>
      </c>
      <c r="L12" s="30">
        <v>34</v>
      </c>
    </row>
    <row r="13" spans="1:12" ht="18.75" customHeight="1" thickTop="1" thickBot="1" x14ac:dyDescent="0.4">
      <c r="A13" s="7"/>
      <c r="B13" s="15">
        <v>9</v>
      </c>
      <c r="C13" s="8" t="s">
        <v>17</v>
      </c>
      <c r="D13" s="8" t="s">
        <v>55</v>
      </c>
      <c r="E13" s="9">
        <v>5</v>
      </c>
      <c r="F13" s="4">
        <v>650</v>
      </c>
      <c r="G13" s="11">
        <f t="shared" si="0"/>
        <v>3250</v>
      </c>
      <c r="I13" s="28" t="s">
        <v>23</v>
      </c>
      <c r="J13" s="28" t="s">
        <v>38</v>
      </c>
      <c r="K13" s="26" t="s">
        <v>62</v>
      </c>
      <c r="L13" s="30">
        <v>36</v>
      </c>
    </row>
    <row r="14" spans="1:12" ht="18.75" customHeight="1" thickTop="1" thickBot="1" x14ac:dyDescent="0.4">
      <c r="A14" s="7"/>
      <c r="B14" s="16">
        <v>10</v>
      </c>
      <c r="C14" s="8" t="s">
        <v>17</v>
      </c>
      <c r="D14" s="8" t="s">
        <v>56</v>
      </c>
      <c r="E14" s="9">
        <v>5</v>
      </c>
      <c r="F14" s="4">
        <v>680</v>
      </c>
      <c r="G14" s="11">
        <f t="shared" si="0"/>
        <v>3400</v>
      </c>
      <c r="I14" s="28" t="s">
        <v>24</v>
      </c>
      <c r="J14" s="28" t="s">
        <v>39</v>
      </c>
      <c r="K14" s="27"/>
      <c r="L14" s="30">
        <v>38</v>
      </c>
    </row>
    <row r="15" spans="1:12" ht="18.75" customHeight="1" thickTop="1" thickBot="1" x14ac:dyDescent="0.4">
      <c r="A15" s="7"/>
      <c r="B15" s="15">
        <v>11</v>
      </c>
      <c r="C15" s="8" t="s">
        <v>17</v>
      </c>
      <c r="D15" s="8" t="s">
        <v>57</v>
      </c>
      <c r="E15" s="9">
        <v>3.5</v>
      </c>
      <c r="F15" s="4">
        <v>710</v>
      </c>
      <c r="G15" s="11">
        <f t="shared" si="0"/>
        <v>2485</v>
      </c>
      <c r="I15" s="28" t="s">
        <v>25</v>
      </c>
      <c r="J15" s="28" t="s">
        <v>40</v>
      </c>
      <c r="K15" s="27"/>
      <c r="L15" s="30">
        <v>40</v>
      </c>
    </row>
    <row r="16" spans="1:12" ht="18.75" customHeight="1" thickTop="1" thickBot="1" x14ac:dyDescent="0.4">
      <c r="A16" s="7"/>
      <c r="B16" s="16">
        <v>12</v>
      </c>
      <c r="C16" s="8" t="s">
        <v>22</v>
      </c>
      <c r="D16" s="8" t="s">
        <v>55</v>
      </c>
      <c r="E16" s="9">
        <v>5</v>
      </c>
      <c r="F16" s="4">
        <v>1310</v>
      </c>
      <c r="G16" s="11">
        <f t="shared" si="0"/>
        <v>6550</v>
      </c>
      <c r="I16" s="28" t="s">
        <v>28</v>
      </c>
      <c r="J16" s="28" t="s">
        <v>41</v>
      </c>
      <c r="K16" s="27"/>
      <c r="L16" s="30">
        <v>42</v>
      </c>
    </row>
    <row r="17" spans="1:12" ht="18.75" customHeight="1" thickTop="1" thickBot="1" x14ac:dyDescent="0.4">
      <c r="A17" s="7"/>
      <c r="B17" s="15">
        <v>13</v>
      </c>
      <c r="C17" s="8"/>
      <c r="D17" s="8"/>
      <c r="E17" s="5"/>
      <c r="F17" s="4"/>
      <c r="G17" s="11">
        <f t="shared" si="0"/>
        <v>0</v>
      </c>
      <c r="I17" s="28" t="s">
        <v>26</v>
      </c>
      <c r="J17" s="27"/>
      <c r="K17" s="27"/>
      <c r="L17" s="30">
        <v>44</v>
      </c>
    </row>
    <row r="18" spans="1:12" ht="18.75" customHeight="1" thickTop="1" thickBot="1" x14ac:dyDescent="0.4">
      <c r="A18" s="7"/>
      <c r="B18" s="16">
        <v>14</v>
      </c>
      <c r="C18" s="8"/>
      <c r="D18" s="8"/>
      <c r="E18" s="5"/>
      <c r="F18" s="4"/>
      <c r="G18" s="11">
        <f t="shared" si="0"/>
        <v>0</v>
      </c>
      <c r="I18" s="28" t="s">
        <v>27</v>
      </c>
      <c r="J18" s="27"/>
      <c r="K18" s="27"/>
      <c r="L18" s="27"/>
    </row>
    <row r="19" spans="1:12" ht="18.75" customHeight="1" thickTop="1" thickBot="1" x14ac:dyDescent="0.4">
      <c r="A19" s="7"/>
      <c r="B19" s="15">
        <v>15</v>
      </c>
      <c r="C19" s="8"/>
      <c r="D19" s="8"/>
      <c r="E19" s="5"/>
      <c r="F19" s="4"/>
      <c r="G19" s="11">
        <f t="shared" si="0"/>
        <v>0</v>
      </c>
      <c r="I19" s="28" t="s">
        <v>29</v>
      </c>
      <c r="J19" s="27"/>
      <c r="K19" s="27"/>
      <c r="L19" s="27"/>
    </row>
    <row r="20" spans="1:12" ht="18.75" customHeight="1" thickTop="1" thickBot="1" x14ac:dyDescent="0.4">
      <c r="A20" s="7"/>
      <c r="B20" s="16">
        <v>16</v>
      </c>
      <c r="C20" s="8"/>
      <c r="D20" s="8"/>
      <c r="E20" s="5"/>
      <c r="F20" s="4"/>
      <c r="G20" s="11">
        <f t="shared" si="0"/>
        <v>0</v>
      </c>
    </row>
    <row r="21" spans="1:12" ht="33" customHeight="1" thickTop="1" thickBot="1" x14ac:dyDescent="0.5">
      <c r="A21" s="7"/>
      <c r="B21" s="14"/>
      <c r="C21" s="144" t="s">
        <v>1</v>
      </c>
      <c r="D21" s="144"/>
      <c r="E21" s="144"/>
      <c r="F21" s="145"/>
      <c r="G21" s="3">
        <f>SUM(G5:G20)</f>
        <v>41079</v>
      </c>
    </row>
    <row r="22" spans="1:12" ht="18" customHeight="1" thickTop="1" thickBot="1" x14ac:dyDescent="0.3">
      <c r="C22" s="1"/>
      <c r="D22" s="1"/>
      <c r="E22" s="1"/>
      <c r="F22" s="1"/>
      <c r="G22" s="1"/>
    </row>
    <row r="23" spans="1:12" ht="21" customHeight="1" thickTop="1" thickBot="1" x14ac:dyDescent="0.35">
      <c r="C23" s="26" t="s">
        <v>10</v>
      </c>
      <c r="D23" s="153"/>
      <c r="E23" s="154"/>
      <c r="F23" s="1"/>
      <c r="G23" s="1"/>
    </row>
    <row r="24" spans="1:12" ht="21" customHeight="1" thickTop="1" thickBot="1" x14ac:dyDescent="0.35">
      <c r="C24" s="26" t="s">
        <v>49</v>
      </c>
      <c r="D24" s="153"/>
      <c r="E24" s="154"/>
      <c r="F24" s="1"/>
      <c r="G24" s="1"/>
    </row>
    <row r="25" spans="1:12" ht="21" customHeight="1" thickTop="1" thickBot="1" x14ac:dyDescent="0.4">
      <c r="C25" s="26" t="s">
        <v>11</v>
      </c>
      <c r="D25" s="150">
        <f>D23+D24</f>
        <v>0</v>
      </c>
      <c r="E25" s="151"/>
    </row>
    <row r="26" spans="1:12" ht="15.75" thickTop="1" x14ac:dyDescent="0.25"/>
  </sheetData>
  <mergeCells count="7">
    <mergeCell ref="B1:G1"/>
    <mergeCell ref="D23:E23"/>
    <mergeCell ref="D24:E24"/>
    <mergeCell ref="D25:E25"/>
    <mergeCell ref="C21:F21"/>
    <mergeCell ref="B2:G2"/>
    <mergeCell ref="B3:G3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rightToLeft="1" workbookViewId="0">
      <selection activeCell="C21" sqref="C21:F21"/>
    </sheetView>
  </sheetViews>
  <sheetFormatPr defaultRowHeight="15" x14ac:dyDescent="0.25"/>
  <cols>
    <col min="1" max="1" width="2.42578125" customWidth="1"/>
    <col min="2" max="2" width="4" customWidth="1"/>
    <col min="3" max="3" width="19.140625" customWidth="1"/>
    <col min="4" max="4" width="9.7109375" customWidth="1"/>
    <col min="5" max="5" width="10.140625" customWidth="1"/>
    <col min="6" max="6" width="15.85546875" customWidth="1"/>
    <col min="7" max="7" width="22.140625" customWidth="1"/>
    <col min="8" max="8" width="6.140625" customWidth="1"/>
    <col min="9" max="9" width="23.140625" customWidth="1"/>
    <col min="10" max="10" width="27.42578125" customWidth="1"/>
  </cols>
  <sheetData>
    <row r="1" spans="1:12" ht="29.25" x14ac:dyDescent="0.5">
      <c r="A1" s="6"/>
      <c r="B1" s="152" t="s">
        <v>6</v>
      </c>
      <c r="C1" s="152"/>
      <c r="D1" s="152"/>
      <c r="E1" s="152"/>
      <c r="F1" s="152"/>
      <c r="G1" s="152"/>
    </row>
    <row r="2" spans="1:12" ht="21" x14ac:dyDescent="0.35">
      <c r="A2" s="6"/>
      <c r="B2" s="146" t="s">
        <v>50</v>
      </c>
      <c r="C2" s="146"/>
      <c r="D2" s="146"/>
      <c r="E2" s="146"/>
      <c r="F2" s="146"/>
      <c r="G2" s="146"/>
    </row>
    <row r="3" spans="1:12" ht="19.5" customHeight="1" thickBot="1" x14ac:dyDescent="0.4">
      <c r="A3" s="6"/>
      <c r="B3" s="147" t="s">
        <v>48</v>
      </c>
      <c r="C3" s="147"/>
      <c r="D3" s="147"/>
      <c r="E3" s="147"/>
      <c r="F3" s="147"/>
      <c r="G3" s="147"/>
    </row>
    <row r="4" spans="1:12" ht="33" customHeight="1" thickTop="1" thickBot="1" x14ac:dyDescent="0.5">
      <c r="A4" s="7"/>
      <c r="B4" s="19" t="s">
        <v>5</v>
      </c>
      <c r="C4" s="3" t="s">
        <v>0</v>
      </c>
      <c r="D4" s="128" t="s">
        <v>14</v>
      </c>
      <c r="E4" s="2" t="s">
        <v>3</v>
      </c>
      <c r="F4" s="3" t="s">
        <v>2</v>
      </c>
      <c r="G4" s="3" t="s">
        <v>4</v>
      </c>
    </row>
    <row r="5" spans="1:12" ht="18.75" customHeight="1" thickTop="1" thickBot="1" x14ac:dyDescent="0.4">
      <c r="A5" s="7"/>
      <c r="B5" s="15">
        <v>1</v>
      </c>
      <c r="C5" s="8" t="s">
        <v>23</v>
      </c>
      <c r="D5" s="8" t="s">
        <v>51</v>
      </c>
      <c r="E5" s="9">
        <v>6</v>
      </c>
      <c r="F5" s="8">
        <v>264</v>
      </c>
      <c r="G5" s="10">
        <f>F5*E5</f>
        <v>1584</v>
      </c>
      <c r="I5" s="28" t="s">
        <v>15</v>
      </c>
      <c r="J5" s="28" t="s">
        <v>30</v>
      </c>
      <c r="K5" s="30" t="s">
        <v>59</v>
      </c>
      <c r="L5" s="30" t="s">
        <v>60</v>
      </c>
    </row>
    <row r="6" spans="1:12" ht="18.75" customHeight="1" thickTop="1" thickBot="1" x14ac:dyDescent="0.4">
      <c r="A6" s="7"/>
      <c r="B6" s="16">
        <v>2</v>
      </c>
      <c r="C6" s="8" t="s">
        <v>19</v>
      </c>
      <c r="D6" s="8" t="s">
        <v>52</v>
      </c>
      <c r="E6" s="9">
        <v>5</v>
      </c>
      <c r="F6" s="4">
        <v>910</v>
      </c>
      <c r="G6" s="11">
        <f>F6*E6</f>
        <v>4550</v>
      </c>
      <c r="I6" s="29" t="s">
        <v>16</v>
      </c>
      <c r="J6" s="30" t="s">
        <v>31</v>
      </c>
      <c r="K6" s="30" t="s">
        <v>54</v>
      </c>
      <c r="L6" s="30">
        <v>2</v>
      </c>
    </row>
    <row r="7" spans="1:12" ht="18.75" customHeight="1" thickTop="1" thickBot="1" x14ac:dyDescent="0.4">
      <c r="A7" s="7"/>
      <c r="B7" s="15">
        <v>3</v>
      </c>
      <c r="C7" s="8" t="s">
        <v>19</v>
      </c>
      <c r="D7" s="8" t="s">
        <v>53</v>
      </c>
      <c r="E7" s="9">
        <v>5</v>
      </c>
      <c r="F7" s="4">
        <v>980</v>
      </c>
      <c r="G7" s="11">
        <f t="shared" ref="G7:G20" si="0">F7*E7</f>
        <v>4900</v>
      </c>
      <c r="I7" s="28" t="s">
        <v>17</v>
      </c>
      <c r="J7" s="28" t="s">
        <v>32</v>
      </c>
      <c r="K7" s="30" t="s">
        <v>55</v>
      </c>
      <c r="L7" s="30">
        <v>4</v>
      </c>
    </row>
    <row r="8" spans="1:12" ht="18.75" customHeight="1" thickTop="1" thickBot="1" x14ac:dyDescent="0.4">
      <c r="A8" s="7"/>
      <c r="B8" s="16">
        <v>4</v>
      </c>
      <c r="C8" s="8" t="s">
        <v>15</v>
      </c>
      <c r="D8" s="8" t="s">
        <v>54</v>
      </c>
      <c r="E8" s="9">
        <v>5</v>
      </c>
      <c r="F8" s="4">
        <v>550</v>
      </c>
      <c r="G8" s="11">
        <f t="shared" si="0"/>
        <v>2750</v>
      </c>
      <c r="I8" s="28" t="s">
        <v>18</v>
      </c>
      <c r="J8" s="31" t="s">
        <v>33</v>
      </c>
      <c r="K8" s="30" t="s">
        <v>56</v>
      </c>
      <c r="L8" s="30">
        <v>6</v>
      </c>
    </row>
    <row r="9" spans="1:12" ht="18.75" customHeight="1" thickTop="1" thickBot="1" x14ac:dyDescent="0.4">
      <c r="A9" s="7"/>
      <c r="B9" s="15">
        <v>5</v>
      </c>
      <c r="C9" s="8" t="s">
        <v>15</v>
      </c>
      <c r="D9" s="8" t="s">
        <v>55</v>
      </c>
      <c r="E9" s="9">
        <v>5</v>
      </c>
      <c r="F9" s="4">
        <v>580</v>
      </c>
      <c r="G9" s="11">
        <f t="shared" si="0"/>
        <v>2900</v>
      </c>
      <c r="I9" s="28" t="s">
        <v>19</v>
      </c>
      <c r="J9" s="28" t="s">
        <v>34</v>
      </c>
      <c r="K9" s="30" t="s">
        <v>57</v>
      </c>
      <c r="L9" s="30">
        <v>8</v>
      </c>
    </row>
    <row r="10" spans="1:12" ht="18.75" customHeight="1" thickTop="1" thickBot="1" x14ac:dyDescent="0.4">
      <c r="A10" s="7"/>
      <c r="B10" s="16">
        <v>6</v>
      </c>
      <c r="C10" s="8" t="s">
        <v>15</v>
      </c>
      <c r="D10" s="8" t="s">
        <v>56</v>
      </c>
      <c r="E10" s="9">
        <v>5</v>
      </c>
      <c r="F10" s="4">
        <v>610</v>
      </c>
      <c r="G10" s="11">
        <f t="shared" si="0"/>
        <v>3050</v>
      </c>
      <c r="I10" s="28" t="s">
        <v>20</v>
      </c>
      <c r="J10" s="28" t="s">
        <v>35</v>
      </c>
      <c r="K10" s="26" t="s">
        <v>52</v>
      </c>
      <c r="L10" s="30">
        <v>10</v>
      </c>
    </row>
    <row r="11" spans="1:12" ht="18.75" customHeight="1" thickTop="1" thickBot="1" x14ac:dyDescent="0.4">
      <c r="A11" s="7"/>
      <c r="B11" s="15">
        <v>7</v>
      </c>
      <c r="C11" s="8" t="s">
        <v>15</v>
      </c>
      <c r="D11" s="8" t="s">
        <v>57</v>
      </c>
      <c r="E11" s="9">
        <v>4</v>
      </c>
      <c r="F11" s="4">
        <v>640</v>
      </c>
      <c r="G11" s="11">
        <f t="shared" si="0"/>
        <v>2560</v>
      </c>
      <c r="I11" s="28" t="s">
        <v>21</v>
      </c>
      <c r="J11" s="28" t="s">
        <v>36</v>
      </c>
      <c r="K11" s="26" t="s">
        <v>53</v>
      </c>
      <c r="L11" s="30">
        <v>12</v>
      </c>
    </row>
    <row r="12" spans="1:12" ht="18.75" customHeight="1" thickTop="1" thickBot="1" x14ac:dyDescent="0.4">
      <c r="A12" s="7"/>
      <c r="B12" s="16">
        <v>8</v>
      </c>
      <c r="C12" s="8" t="s">
        <v>17</v>
      </c>
      <c r="D12" s="8" t="s">
        <v>54</v>
      </c>
      <c r="E12" s="9">
        <v>5</v>
      </c>
      <c r="F12" s="4">
        <v>620</v>
      </c>
      <c r="G12" s="11">
        <f t="shared" si="0"/>
        <v>3100</v>
      </c>
      <c r="I12" s="28" t="s">
        <v>22</v>
      </c>
      <c r="J12" s="28" t="s">
        <v>37</v>
      </c>
      <c r="K12" s="26" t="s">
        <v>61</v>
      </c>
      <c r="L12" s="30">
        <v>34</v>
      </c>
    </row>
    <row r="13" spans="1:12" ht="18.75" customHeight="1" thickTop="1" thickBot="1" x14ac:dyDescent="0.4">
      <c r="A13" s="7"/>
      <c r="B13" s="15">
        <v>9</v>
      </c>
      <c r="C13" s="8" t="s">
        <v>17</v>
      </c>
      <c r="D13" s="8" t="s">
        <v>55</v>
      </c>
      <c r="E13" s="9">
        <v>5</v>
      </c>
      <c r="F13" s="4">
        <v>650</v>
      </c>
      <c r="G13" s="11">
        <f t="shared" si="0"/>
        <v>3250</v>
      </c>
      <c r="I13" s="28" t="s">
        <v>23</v>
      </c>
      <c r="J13" s="28" t="s">
        <v>38</v>
      </c>
      <c r="K13" s="26" t="s">
        <v>62</v>
      </c>
      <c r="L13" s="30">
        <v>36</v>
      </c>
    </row>
    <row r="14" spans="1:12" ht="18.75" customHeight="1" thickTop="1" thickBot="1" x14ac:dyDescent="0.4">
      <c r="A14" s="7"/>
      <c r="B14" s="16">
        <v>10</v>
      </c>
      <c r="C14" s="8" t="s">
        <v>17</v>
      </c>
      <c r="D14" s="8" t="s">
        <v>56</v>
      </c>
      <c r="E14" s="9">
        <v>5</v>
      </c>
      <c r="F14" s="4">
        <v>680</v>
      </c>
      <c r="G14" s="11">
        <f t="shared" si="0"/>
        <v>3400</v>
      </c>
      <c r="I14" s="28" t="s">
        <v>24</v>
      </c>
      <c r="J14" s="28" t="s">
        <v>39</v>
      </c>
      <c r="K14" s="27"/>
      <c r="L14" s="30">
        <v>38</v>
      </c>
    </row>
    <row r="15" spans="1:12" ht="18.75" customHeight="1" thickTop="1" thickBot="1" x14ac:dyDescent="0.4">
      <c r="A15" s="7"/>
      <c r="B15" s="15">
        <v>11</v>
      </c>
      <c r="C15" s="8" t="s">
        <v>17</v>
      </c>
      <c r="D15" s="8" t="s">
        <v>57</v>
      </c>
      <c r="E15" s="9">
        <v>3.5</v>
      </c>
      <c r="F15" s="4">
        <v>710</v>
      </c>
      <c r="G15" s="11">
        <f t="shared" si="0"/>
        <v>2485</v>
      </c>
      <c r="I15" s="28" t="s">
        <v>25</v>
      </c>
      <c r="J15" s="28" t="s">
        <v>40</v>
      </c>
      <c r="K15" s="27"/>
      <c r="L15" s="30">
        <v>40</v>
      </c>
    </row>
    <row r="16" spans="1:12" ht="18.75" customHeight="1" thickTop="1" thickBot="1" x14ac:dyDescent="0.4">
      <c r="A16" s="7"/>
      <c r="B16" s="16">
        <v>12</v>
      </c>
      <c r="C16" s="8" t="s">
        <v>22</v>
      </c>
      <c r="D16" s="8" t="s">
        <v>55</v>
      </c>
      <c r="E16" s="9">
        <v>5</v>
      </c>
      <c r="F16" s="4">
        <v>1310</v>
      </c>
      <c r="G16" s="11">
        <f t="shared" si="0"/>
        <v>6550</v>
      </c>
      <c r="I16" s="28" t="s">
        <v>28</v>
      </c>
      <c r="J16" s="28" t="s">
        <v>41</v>
      </c>
      <c r="K16" s="27"/>
      <c r="L16" s="30">
        <v>42</v>
      </c>
    </row>
    <row r="17" spans="1:12" ht="18.75" customHeight="1" thickTop="1" thickBot="1" x14ac:dyDescent="0.4">
      <c r="A17" s="7"/>
      <c r="B17" s="15">
        <v>13</v>
      </c>
      <c r="C17" s="8"/>
      <c r="D17" s="8"/>
      <c r="E17" s="5"/>
      <c r="F17" s="4"/>
      <c r="G17" s="11">
        <f t="shared" si="0"/>
        <v>0</v>
      </c>
      <c r="I17" s="28" t="s">
        <v>26</v>
      </c>
      <c r="J17" s="27"/>
      <c r="K17" s="27"/>
      <c r="L17" s="30">
        <v>44</v>
      </c>
    </row>
    <row r="18" spans="1:12" ht="18.75" customHeight="1" thickTop="1" thickBot="1" x14ac:dyDescent="0.4">
      <c r="A18" s="7"/>
      <c r="B18" s="16">
        <v>14</v>
      </c>
      <c r="C18" s="8"/>
      <c r="D18" s="8"/>
      <c r="E18" s="5"/>
      <c r="F18" s="4"/>
      <c r="G18" s="11">
        <f t="shared" si="0"/>
        <v>0</v>
      </c>
      <c r="I18" s="28" t="s">
        <v>27</v>
      </c>
      <c r="J18" s="27"/>
      <c r="K18" s="27"/>
      <c r="L18" s="27"/>
    </row>
    <row r="19" spans="1:12" ht="18.75" customHeight="1" thickTop="1" thickBot="1" x14ac:dyDescent="0.4">
      <c r="A19" s="7"/>
      <c r="B19" s="15">
        <v>15</v>
      </c>
      <c r="C19" s="8"/>
      <c r="D19" s="8"/>
      <c r="E19" s="5"/>
      <c r="F19" s="4"/>
      <c r="G19" s="11">
        <f t="shared" si="0"/>
        <v>0</v>
      </c>
      <c r="I19" s="28" t="s">
        <v>29</v>
      </c>
      <c r="J19" s="27"/>
      <c r="K19" s="27"/>
      <c r="L19" s="27"/>
    </row>
    <row r="20" spans="1:12" ht="18.75" customHeight="1" thickTop="1" thickBot="1" x14ac:dyDescent="0.4">
      <c r="A20" s="7"/>
      <c r="B20" s="16">
        <v>16</v>
      </c>
      <c r="C20" s="8"/>
      <c r="D20" s="8"/>
      <c r="E20" s="5"/>
      <c r="F20" s="4"/>
      <c r="G20" s="11">
        <f t="shared" si="0"/>
        <v>0</v>
      </c>
    </row>
    <row r="21" spans="1:12" ht="33" customHeight="1" thickTop="1" thickBot="1" x14ac:dyDescent="0.5">
      <c r="A21" s="7"/>
      <c r="B21" s="14"/>
      <c r="C21" s="144" t="s">
        <v>1</v>
      </c>
      <c r="D21" s="144"/>
      <c r="E21" s="144"/>
      <c r="F21" s="145"/>
      <c r="G21" s="3">
        <f>SUM(G5:G20)</f>
        <v>41079</v>
      </c>
    </row>
    <row r="22" spans="1:12" ht="18" customHeight="1" thickTop="1" thickBot="1" x14ac:dyDescent="0.3">
      <c r="C22" s="1"/>
      <c r="D22" s="1"/>
      <c r="E22" s="1"/>
      <c r="F22" s="1"/>
      <c r="G22" s="1"/>
    </row>
    <row r="23" spans="1:12" ht="21" customHeight="1" thickTop="1" thickBot="1" x14ac:dyDescent="0.35">
      <c r="C23" s="26" t="s">
        <v>10</v>
      </c>
      <c r="D23" s="153"/>
      <c r="E23" s="154"/>
      <c r="F23" s="1"/>
      <c r="G23" s="1"/>
    </row>
    <row r="24" spans="1:12" ht="21" customHeight="1" thickTop="1" thickBot="1" x14ac:dyDescent="0.35">
      <c r="C24" s="26" t="s">
        <v>49</v>
      </c>
      <c r="D24" s="153"/>
      <c r="E24" s="154"/>
      <c r="F24" s="1"/>
      <c r="G24" s="1"/>
    </row>
    <row r="25" spans="1:12" ht="21" customHeight="1" thickTop="1" thickBot="1" x14ac:dyDescent="0.4">
      <c r="C25" s="26" t="s">
        <v>11</v>
      </c>
      <c r="D25" s="150">
        <f>D23+D24</f>
        <v>0</v>
      </c>
      <c r="E25" s="151"/>
    </row>
    <row r="26" spans="1:12" ht="15.75" thickTop="1" x14ac:dyDescent="0.25"/>
  </sheetData>
  <mergeCells count="7">
    <mergeCell ref="D25:E25"/>
    <mergeCell ref="B1:G1"/>
    <mergeCell ref="B2:G2"/>
    <mergeCell ref="B3:G3"/>
    <mergeCell ref="C21:F21"/>
    <mergeCell ref="D23:E23"/>
    <mergeCell ref="D24:E24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workbookViewId="0">
      <selection activeCell="D5" sqref="D5:F18"/>
    </sheetView>
  </sheetViews>
  <sheetFormatPr defaultRowHeight="20.25" customHeight="1" x14ac:dyDescent="0.25"/>
  <cols>
    <col min="1" max="1" width="2.42578125" customWidth="1"/>
    <col min="2" max="2" width="4" customWidth="1"/>
    <col min="3" max="3" width="19.140625" customWidth="1"/>
    <col min="4" max="4" width="9.7109375" customWidth="1"/>
    <col min="5" max="5" width="10.140625" customWidth="1"/>
    <col min="6" max="6" width="15.85546875" customWidth="1"/>
    <col min="7" max="7" width="22.140625" customWidth="1"/>
    <col min="8" max="8" width="5.7109375" customWidth="1"/>
    <col min="9" max="10" width="22.5703125" customWidth="1"/>
    <col min="11" max="11" width="8.42578125" customWidth="1"/>
    <col min="12" max="12" width="8" customWidth="1"/>
  </cols>
  <sheetData>
    <row r="1" spans="1:12" ht="33.75" customHeight="1" x14ac:dyDescent="0.55000000000000004">
      <c r="A1" s="139" t="s">
        <v>6</v>
      </c>
      <c r="B1" s="139"/>
      <c r="C1" s="139"/>
      <c r="D1" s="139"/>
      <c r="E1" s="139"/>
      <c r="F1" s="139"/>
      <c r="G1" s="139"/>
    </row>
    <row r="2" spans="1:12" ht="20.25" customHeight="1" x14ac:dyDescent="0.35">
      <c r="A2" s="6"/>
      <c r="B2" s="148" t="s">
        <v>86</v>
      </c>
      <c r="C2" s="148"/>
      <c r="D2" s="148"/>
      <c r="E2" s="148"/>
      <c r="F2" s="148"/>
      <c r="G2" s="148"/>
    </row>
    <row r="3" spans="1:12" ht="23.25" customHeight="1" thickBot="1" x14ac:dyDescent="0.4">
      <c r="A3" s="6"/>
      <c r="B3" s="149" t="s">
        <v>85</v>
      </c>
      <c r="C3" s="149"/>
      <c r="D3" s="149"/>
      <c r="E3" s="149"/>
      <c r="F3" s="149"/>
      <c r="G3" s="149"/>
    </row>
    <row r="4" spans="1:12" ht="27" customHeight="1" thickTop="1" thickBot="1" x14ac:dyDescent="0.5">
      <c r="A4" s="7"/>
      <c r="B4" s="19" t="s">
        <v>5</v>
      </c>
      <c r="C4" s="3" t="s">
        <v>0</v>
      </c>
      <c r="D4" s="25" t="s">
        <v>14</v>
      </c>
      <c r="E4" s="2" t="s">
        <v>3</v>
      </c>
      <c r="F4" s="3" t="s">
        <v>2</v>
      </c>
      <c r="G4" s="3" t="s">
        <v>4</v>
      </c>
    </row>
    <row r="5" spans="1:12" ht="20.25" customHeight="1" thickTop="1" thickBot="1" x14ac:dyDescent="0.4">
      <c r="A5" s="7"/>
      <c r="B5" s="15">
        <v>1</v>
      </c>
      <c r="C5" s="8" t="s">
        <v>15</v>
      </c>
      <c r="D5" s="64" t="s">
        <v>54</v>
      </c>
      <c r="E5" s="63">
        <v>5</v>
      </c>
      <c r="F5" s="64">
        <v>550</v>
      </c>
      <c r="G5" s="65">
        <f t="shared" ref="G5:G18" si="0">F5*E5</f>
        <v>2750</v>
      </c>
      <c r="I5" s="69" t="s">
        <v>15</v>
      </c>
      <c r="J5" s="69" t="s">
        <v>30</v>
      </c>
      <c r="K5" s="70" t="s">
        <v>59</v>
      </c>
      <c r="L5" s="70" t="s">
        <v>60</v>
      </c>
    </row>
    <row r="6" spans="1:12" ht="20.25" customHeight="1" thickTop="1" thickBot="1" x14ac:dyDescent="0.4">
      <c r="A6" s="7"/>
      <c r="B6" s="16">
        <v>2</v>
      </c>
      <c r="C6" s="8" t="s">
        <v>15</v>
      </c>
      <c r="D6" s="64" t="s">
        <v>55</v>
      </c>
      <c r="E6" s="63">
        <v>3</v>
      </c>
      <c r="F6" s="4">
        <v>580</v>
      </c>
      <c r="G6" s="4">
        <f t="shared" si="0"/>
        <v>1740</v>
      </c>
      <c r="I6" s="71" t="s">
        <v>16</v>
      </c>
      <c r="J6" s="70" t="s">
        <v>31</v>
      </c>
      <c r="K6" s="70" t="s">
        <v>54</v>
      </c>
      <c r="L6" s="70">
        <v>2</v>
      </c>
    </row>
    <row r="7" spans="1:12" ht="20.25" customHeight="1" thickTop="1" thickBot="1" x14ac:dyDescent="0.4">
      <c r="A7" s="7"/>
      <c r="B7" s="15">
        <v>3</v>
      </c>
      <c r="C7" s="8" t="s">
        <v>15</v>
      </c>
      <c r="D7" s="64" t="s">
        <v>56</v>
      </c>
      <c r="E7" s="63">
        <v>5</v>
      </c>
      <c r="F7" s="4">
        <v>610</v>
      </c>
      <c r="G7" s="4">
        <f t="shared" si="0"/>
        <v>3050</v>
      </c>
      <c r="I7" s="69" t="s">
        <v>17</v>
      </c>
      <c r="J7" s="69" t="s">
        <v>32</v>
      </c>
      <c r="K7" s="70" t="s">
        <v>55</v>
      </c>
      <c r="L7" s="70">
        <v>4</v>
      </c>
    </row>
    <row r="8" spans="1:12" ht="20.25" customHeight="1" thickTop="1" thickBot="1" x14ac:dyDescent="0.4">
      <c r="A8" s="7"/>
      <c r="B8" s="16">
        <v>4</v>
      </c>
      <c r="C8" s="98" t="s">
        <v>15</v>
      </c>
      <c r="D8" s="64" t="s">
        <v>57</v>
      </c>
      <c r="E8" s="63">
        <v>5</v>
      </c>
      <c r="F8" s="4">
        <v>640</v>
      </c>
      <c r="G8" s="4">
        <f t="shared" si="0"/>
        <v>3200</v>
      </c>
      <c r="I8" s="69" t="s">
        <v>18</v>
      </c>
      <c r="J8" s="72" t="s">
        <v>33</v>
      </c>
      <c r="K8" s="70" t="s">
        <v>56</v>
      </c>
      <c r="L8" s="70">
        <v>6</v>
      </c>
    </row>
    <row r="9" spans="1:12" ht="20.25" customHeight="1" thickTop="1" thickBot="1" x14ac:dyDescent="0.4">
      <c r="A9" s="7"/>
      <c r="B9" s="15">
        <v>5</v>
      </c>
      <c r="C9" s="98" t="s">
        <v>17</v>
      </c>
      <c r="D9" s="64" t="s">
        <v>54</v>
      </c>
      <c r="E9" s="63">
        <v>5</v>
      </c>
      <c r="F9" s="4">
        <v>620</v>
      </c>
      <c r="G9" s="4">
        <f t="shared" si="0"/>
        <v>3100</v>
      </c>
      <c r="I9" s="69" t="s">
        <v>19</v>
      </c>
      <c r="J9" s="69" t="s">
        <v>34</v>
      </c>
      <c r="K9" s="70" t="s">
        <v>57</v>
      </c>
      <c r="L9" s="70">
        <v>8</v>
      </c>
    </row>
    <row r="10" spans="1:12" ht="20.25" customHeight="1" thickTop="1" thickBot="1" x14ac:dyDescent="0.4">
      <c r="A10" s="7"/>
      <c r="B10" s="16">
        <v>6</v>
      </c>
      <c r="C10" s="98" t="s">
        <v>17</v>
      </c>
      <c r="D10" s="64" t="s">
        <v>56</v>
      </c>
      <c r="E10" s="63">
        <v>5</v>
      </c>
      <c r="F10" s="4">
        <v>680</v>
      </c>
      <c r="G10" s="4">
        <f t="shared" si="0"/>
        <v>3400</v>
      </c>
      <c r="I10" s="69" t="s">
        <v>20</v>
      </c>
      <c r="J10" s="69" t="s">
        <v>35</v>
      </c>
      <c r="K10" s="73" t="s">
        <v>52</v>
      </c>
      <c r="L10" s="70">
        <v>10</v>
      </c>
    </row>
    <row r="11" spans="1:12" ht="20.25" customHeight="1" thickTop="1" thickBot="1" x14ac:dyDescent="0.4">
      <c r="A11" s="7"/>
      <c r="B11" s="15">
        <v>7</v>
      </c>
      <c r="C11" s="98" t="s">
        <v>17</v>
      </c>
      <c r="D11" s="64" t="s">
        <v>57</v>
      </c>
      <c r="E11" s="63">
        <v>5</v>
      </c>
      <c r="F11" s="4">
        <v>710</v>
      </c>
      <c r="G11" s="4">
        <f t="shared" si="0"/>
        <v>3550</v>
      </c>
      <c r="I11" s="69" t="s">
        <v>21</v>
      </c>
      <c r="J11" s="69" t="s">
        <v>36</v>
      </c>
      <c r="K11" s="73" t="s">
        <v>53</v>
      </c>
      <c r="L11" s="70">
        <v>12</v>
      </c>
    </row>
    <row r="12" spans="1:12" ht="20.25" customHeight="1" thickTop="1" thickBot="1" x14ac:dyDescent="0.4">
      <c r="A12" s="7"/>
      <c r="B12" s="16">
        <v>8</v>
      </c>
      <c r="C12" s="98" t="s">
        <v>16</v>
      </c>
      <c r="D12" s="64" t="s">
        <v>54</v>
      </c>
      <c r="E12" s="63">
        <v>5</v>
      </c>
      <c r="F12" s="4">
        <v>580</v>
      </c>
      <c r="G12" s="4">
        <f t="shared" si="0"/>
        <v>2900</v>
      </c>
      <c r="I12" s="69" t="s">
        <v>22</v>
      </c>
      <c r="J12" s="69" t="s">
        <v>37</v>
      </c>
      <c r="K12" s="73" t="s">
        <v>61</v>
      </c>
      <c r="L12" s="70">
        <v>34</v>
      </c>
    </row>
    <row r="13" spans="1:12" ht="20.25" customHeight="1" thickTop="1" thickBot="1" x14ac:dyDescent="0.4">
      <c r="A13" s="7"/>
      <c r="B13" s="15">
        <v>9</v>
      </c>
      <c r="C13" s="98" t="s">
        <v>16</v>
      </c>
      <c r="D13" s="64" t="s">
        <v>56</v>
      </c>
      <c r="E13" s="63">
        <v>5</v>
      </c>
      <c r="F13" s="4">
        <v>640</v>
      </c>
      <c r="G13" s="4">
        <f t="shared" si="0"/>
        <v>3200</v>
      </c>
      <c r="I13" s="69" t="s">
        <v>23</v>
      </c>
      <c r="J13" s="69" t="s">
        <v>38</v>
      </c>
      <c r="K13" s="73" t="s">
        <v>62</v>
      </c>
      <c r="L13" s="70">
        <v>36</v>
      </c>
    </row>
    <row r="14" spans="1:12" ht="20.25" customHeight="1" thickTop="1" thickBot="1" x14ac:dyDescent="0.4">
      <c r="A14" s="7"/>
      <c r="B14" s="16">
        <v>10</v>
      </c>
      <c r="C14" s="98" t="s">
        <v>18</v>
      </c>
      <c r="D14" s="64" t="s">
        <v>54</v>
      </c>
      <c r="E14" s="63">
        <v>5</v>
      </c>
      <c r="F14" s="4">
        <v>670</v>
      </c>
      <c r="G14" s="4">
        <f t="shared" si="0"/>
        <v>3350</v>
      </c>
      <c r="I14" s="69" t="s">
        <v>24</v>
      </c>
      <c r="J14" s="69" t="s">
        <v>39</v>
      </c>
      <c r="K14" s="74"/>
      <c r="L14" s="70">
        <v>38</v>
      </c>
    </row>
    <row r="15" spans="1:12" ht="20.25" customHeight="1" thickTop="1" thickBot="1" x14ac:dyDescent="0.4">
      <c r="A15" s="7"/>
      <c r="B15" s="15">
        <v>11</v>
      </c>
      <c r="C15" s="98" t="s">
        <v>18</v>
      </c>
      <c r="D15" s="64" t="s">
        <v>55</v>
      </c>
      <c r="E15" s="63">
        <v>5</v>
      </c>
      <c r="F15" s="4">
        <v>700</v>
      </c>
      <c r="G15" s="4">
        <f t="shared" si="0"/>
        <v>3500</v>
      </c>
      <c r="I15" s="69" t="s">
        <v>25</v>
      </c>
      <c r="J15" s="69" t="s">
        <v>40</v>
      </c>
      <c r="K15" s="74"/>
      <c r="L15" s="70">
        <v>40</v>
      </c>
    </row>
    <row r="16" spans="1:12" ht="20.25" customHeight="1" thickTop="1" thickBot="1" x14ac:dyDescent="0.4">
      <c r="A16" s="7"/>
      <c r="B16" s="16">
        <v>12</v>
      </c>
      <c r="C16" s="98" t="s">
        <v>18</v>
      </c>
      <c r="D16" s="64" t="s">
        <v>57</v>
      </c>
      <c r="E16" s="63">
        <v>5</v>
      </c>
      <c r="F16" s="4">
        <v>760</v>
      </c>
      <c r="G16" s="4">
        <f t="shared" si="0"/>
        <v>3800</v>
      </c>
      <c r="I16" s="69" t="s">
        <v>28</v>
      </c>
      <c r="J16" s="69" t="s">
        <v>41</v>
      </c>
      <c r="K16" s="74"/>
      <c r="L16" s="70">
        <v>42</v>
      </c>
    </row>
    <row r="17" spans="1:12" ht="20.25" customHeight="1" thickTop="1" thickBot="1" x14ac:dyDescent="0.4">
      <c r="A17" s="7"/>
      <c r="B17" s="15">
        <v>13</v>
      </c>
      <c r="C17" s="98" t="s">
        <v>19</v>
      </c>
      <c r="D17" s="64" t="s">
        <v>55</v>
      </c>
      <c r="E17" s="63">
        <v>5</v>
      </c>
      <c r="F17" s="4">
        <v>740</v>
      </c>
      <c r="G17" s="4">
        <f t="shared" si="0"/>
        <v>3700</v>
      </c>
      <c r="I17" s="69" t="s">
        <v>26</v>
      </c>
      <c r="J17" s="69" t="s">
        <v>29</v>
      </c>
      <c r="K17" s="74"/>
      <c r="L17" s="70">
        <v>44</v>
      </c>
    </row>
    <row r="18" spans="1:12" ht="20.25" customHeight="1" thickTop="1" thickBot="1" x14ac:dyDescent="0.4">
      <c r="A18" s="7"/>
      <c r="B18" s="16">
        <v>14</v>
      </c>
      <c r="C18" s="98" t="s">
        <v>23</v>
      </c>
      <c r="D18" s="64">
        <v>12</v>
      </c>
      <c r="E18" s="63">
        <v>4</v>
      </c>
      <c r="F18" s="4">
        <v>360</v>
      </c>
      <c r="G18" s="4">
        <f t="shared" si="0"/>
        <v>1440</v>
      </c>
      <c r="I18" s="69" t="s">
        <v>27</v>
      </c>
      <c r="J18" s="74"/>
      <c r="K18" s="74"/>
      <c r="L18" s="74"/>
    </row>
    <row r="19" spans="1:12" ht="26.25" customHeight="1" thickTop="1" thickBot="1" x14ac:dyDescent="0.5">
      <c r="A19" s="7"/>
      <c r="B19" s="14"/>
      <c r="C19" s="144" t="s">
        <v>1</v>
      </c>
      <c r="D19" s="144"/>
      <c r="E19" s="144"/>
      <c r="F19" s="145"/>
      <c r="G19" s="3">
        <f>SUM(G5:G18)</f>
        <v>42680</v>
      </c>
      <c r="I19" s="74"/>
      <c r="J19" s="74"/>
      <c r="K19" s="74"/>
      <c r="L19" s="74"/>
    </row>
    <row r="20" spans="1:12" ht="20.25" customHeight="1" thickTop="1" thickBot="1" x14ac:dyDescent="0.3">
      <c r="C20" s="1"/>
      <c r="D20" s="1"/>
      <c r="E20" s="1"/>
      <c r="F20" s="1"/>
      <c r="G20" s="1"/>
    </row>
    <row r="21" spans="1:12" ht="21.75" customHeight="1" thickTop="1" thickBot="1" x14ac:dyDescent="0.45">
      <c r="C21" s="26" t="s">
        <v>10</v>
      </c>
      <c r="D21" s="155">
        <v>81155</v>
      </c>
      <c r="E21" s="156"/>
      <c r="F21" s="1"/>
      <c r="G21" s="1"/>
    </row>
    <row r="22" spans="1:12" ht="23.25" customHeight="1" thickTop="1" thickBot="1" x14ac:dyDescent="0.45">
      <c r="C22" s="95" t="s">
        <v>69</v>
      </c>
      <c r="D22" s="155">
        <v>42680</v>
      </c>
      <c r="E22" s="156"/>
      <c r="F22" s="1"/>
      <c r="G22" s="1"/>
    </row>
    <row r="23" spans="1:12" ht="23.25" customHeight="1" thickTop="1" thickBot="1" x14ac:dyDescent="0.45">
      <c r="C23" s="26" t="s">
        <v>11</v>
      </c>
      <c r="D23" s="155">
        <f>D21+D22</f>
        <v>123835</v>
      </c>
      <c r="E23" s="156"/>
    </row>
    <row r="24" spans="1:12" ht="20.25" customHeight="1" thickTop="1" x14ac:dyDescent="0.25"/>
  </sheetData>
  <mergeCells count="7">
    <mergeCell ref="D23:E23"/>
    <mergeCell ref="A1:G1"/>
    <mergeCell ref="B2:G2"/>
    <mergeCell ref="B3:G3"/>
    <mergeCell ref="C19:F19"/>
    <mergeCell ref="D21:E21"/>
    <mergeCell ref="D22:E22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rightToLeft="1" workbookViewId="0">
      <selection activeCell="I13" sqref="I13"/>
    </sheetView>
  </sheetViews>
  <sheetFormatPr defaultRowHeight="15" x14ac:dyDescent="0.25"/>
  <cols>
    <col min="1" max="1" width="3" customWidth="1"/>
    <col min="2" max="2" width="5.85546875" customWidth="1"/>
    <col min="3" max="3" width="21.42578125" customWidth="1"/>
    <col min="4" max="4" width="10.140625" customWidth="1"/>
    <col min="6" max="6" width="12.85546875" customWidth="1"/>
    <col min="7" max="7" width="16.5703125" customWidth="1"/>
    <col min="8" max="8" width="6.5703125" customWidth="1"/>
    <col min="9" max="9" width="24.7109375" customWidth="1"/>
    <col min="10" max="10" width="22.7109375" customWidth="1"/>
  </cols>
  <sheetData>
    <row r="1" spans="1:12" ht="27" x14ac:dyDescent="0.5">
      <c r="A1" s="157" t="s">
        <v>9</v>
      </c>
      <c r="B1" s="157"/>
      <c r="C1" s="157"/>
      <c r="D1" s="157"/>
      <c r="E1" s="157"/>
      <c r="F1" s="157"/>
      <c r="G1" s="157"/>
    </row>
    <row r="2" spans="1:12" ht="23.25" x14ac:dyDescent="0.35">
      <c r="B2" s="148" t="s">
        <v>47</v>
      </c>
      <c r="C2" s="148"/>
      <c r="D2" s="148"/>
      <c r="E2" s="148"/>
      <c r="F2" s="148"/>
      <c r="G2" s="148"/>
    </row>
    <row r="3" spans="1:12" ht="24" thickBot="1" x14ac:dyDescent="0.4">
      <c r="B3" s="149" t="s">
        <v>46</v>
      </c>
      <c r="C3" s="149"/>
      <c r="D3" s="149"/>
      <c r="E3" s="149"/>
      <c r="F3" s="149"/>
      <c r="G3" s="149"/>
    </row>
    <row r="4" spans="1:12" ht="30" thickTop="1" thickBot="1" x14ac:dyDescent="0.5"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3" t="s">
        <v>4</v>
      </c>
      <c r="I4" s="28" t="s">
        <v>15</v>
      </c>
      <c r="J4" s="28" t="s">
        <v>30</v>
      </c>
      <c r="K4" s="30" t="s">
        <v>59</v>
      </c>
      <c r="L4" s="30" t="s">
        <v>60</v>
      </c>
    </row>
    <row r="5" spans="1:12" ht="22.5" thickTop="1" thickBot="1" x14ac:dyDescent="0.4">
      <c r="B5" s="15">
        <v>1</v>
      </c>
      <c r="C5" s="22" t="s">
        <v>23</v>
      </c>
      <c r="D5" s="37" t="s">
        <v>51</v>
      </c>
      <c r="E5" s="39"/>
      <c r="F5" s="38"/>
      <c r="G5" s="35">
        <f t="shared" ref="G5:G16" si="0">F5*E5</f>
        <v>0</v>
      </c>
      <c r="I5" s="29" t="s">
        <v>16</v>
      </c>
      <c r="J5" s="30" t="s">
        <v>31</v>
      </c>
      <c r="K5" s="30" t="s">
        <v>54</v>
      </c>
      <c r="L5" s="30">
        <v>2</v>
      </c>
    </row>
    <row r="6" spans="1:12" ht="22.5" thickTop="1" thickBot="1" x14ac:dyDescent="0.4">
      <c r="B6" s="16">
        <v>2</v>
      </c>
      <c r="C6" s="23" t="s">
        <v>19</v>
      </c>
      <c r="D6" s="24" t="s">
        <v>52</v>
      </c>
      <c r="E6" s="24"/>
      <c r="F6" s="36"/>
      <c r="G6" s="36">
        <f t="shared" si="0"/>
        <v>0</v>
      </c>
      <c r="I6" s="28" t="s">
        <v>17</v>
      </c>
      <c r="J6" s="28" t="s">
        <v>32</v>
      </c>
      <c r="K6" s="30" t="s">
        <v>55</v>
      </c>
      <c r="L6" s="30">
        <v>4</v>
      </c>
    </row>
    <row r="7" spans="1:12" ht="22.5" thickTop="1" thickBot="1" x14ac:dyDescent="0.4">
      <c r="B7" s="16">
        <v>3</v>
      </c>
      <c r="C7" s="24" t="s">
        <v>19</v>
      </c>
      <c r="D7" s="36" t="s">
        <v>53</v>
      </c>
      <c r="E7" s="24"/>
      <c r="F7" s="36"/>
      <c r="G7" s="36">
        <f t="shared" si="0"/>
        <v>0</v>
      </c>
      <c r="I7" s="28" t="s">
        <v>18</v>
      </c>
      <c r="J7" s="31" t="s">
        <v>33</v>
      </c>
      <c r="K7" s="30" t="s">
        <v>56</v>
      </c>
      <c r="L7" s="30">
        <v>6</v>
      </c>
    </row>
    <row r="8" spans="1:12" ht="22.5" thickTop="1" thickBot="1" x14ac:dyDescent="0.4">
      <c r="B8" s="18">
        <v>4</v>
      </c>
      <c r="C8" s="22" t="s">
        <v>15</v>
      </c>
      <c r="D8" s="24" t="s">
        <v>54</v>
      </c>
      <c r="E8" s="24"/>
      <c r="F8" s="36"/>
      <c r="G8" s="36">
        <f t="shared" si="0"/>
        <v>0</v>
      </c>
      <c r="I8" s="28" t="s">
        <v>19</v>
      </c>
      <c r="J8" s="28" t="s">
        <v>34</v>
      </c>
      <c r="K8" s="30" t="s">
        <v>57</v>
      </c>
      <c r="L8" s="30">
        <v>8</v>
      </c>
    </row>
    <row r="9" spans="1:12" ht="22.5" thickTop="1" thickBot="1" x14ac:dyDescent="0.4">
      <c r="B9" s="16">
        <v>5</v>
      </c>
      <c r="C9" s="36" t="s">
        <v>15</v>
      </c>
      <c r="D9" s="36" t="s">
        <v>55</v>
      </c>
      <c r="E9" s="24"/>
      <c r="F9" s="36"/>
      <c r="G9" s="36">
        <f t="shared" si="0"/>
        <v>0</v>
      </c>
      <c r="I9" s="28" t="s">
        <v>20</v>
      </c>
      <c r="J9" s="28" t="s">
        <v>35</v>
      </c>
      <c r="K9" s="26" t="s">
        <v>52</v>
      </c>
      <c r="L9" s="30">
        <v>10</v>
      </c>
    </row>
    <row r="10" spans="1:12" ht="22.5" thickTop="1" thickBot="1" x14ac:dyDescent="0.4">
      <c r="B10" s="18">
        <v>6</v>
      </c>
      <c r="C10" s="36" t="s">
        <v>15</v>
      </c>
      <c r="D10" s="36" t="s">
        <v>56</v>
      </c>
      <c r="E10" s="24"/>
      <c r="F10" s="36"/>
      <c r="G10" s="36">
        <f t="shared" si="0"/>
        <v>0</v>
      </c>
      <c r="I10" s="28" t="s">
        <v>21</v>
      </c>
      <c r="J10" s="28" t="s">
        <v>36</v>
      </c>
      <c r="K10" s="26" t="s">
        <v>53</v>
      </c>
      <c r="L10" s="30">
        <v>12</v>
      </c>
    </row>
    <row r="11" spans="1:12" ht="22.5" thickTop="1" thickBot="1" x14ac:dyDescent="0.4">
      <c r="B11" s="16">
        <v>7</v>
      </c>
      <c r="C11" s="36" t="s">
        <v>15</v>
      </c>
      <c r="D11" s="36" t="s">
        <v>57</v>
      </c>
      <c r="E11" s="24"/>
      <c r="F11" s="36"/>
      <c r="G11" s="36">
        <f t="shared" si="0"/>
        <v>0</v>
      </c>
      <c r="I11" s="28" t="s">
        <v>22</v>
      </c>
      <c r="J11" s="28" t="s">
        <v>37</v>
      </c>
      <c r="K11" s="26" t="s">
        <v>61</v>
      </c>
      <c r="L11" s="30">
        <v>34</v>
      </c>
    </row>
    <row r="12" spans="1:12" ht="22.5" thickTop="1" thickBot="1" x14ac:dyDescent="0.4">
      <c r="B12" s="18">
        <v>8</v>
      </c>
      <c r="C12" s="36" t="s">
        <v>17</v>
      </c>
      <c r="D12" s="36" t="s">
        <v>54</v>
      </c>
      <c r="E12" s="24"/>
      <c r="F12" s="36"/>
      <c r="G12" s="36">
        <f t="shared" si="0"/>
        <v>0</v>
      </c>
      <c r="I12" s="28" t="s">
        <v>23</v>
      </c>
      <c r="J12" s="28" t="s">
        <v>38</v>
      </c>
      <c r="K12" s="26" t="s">
        <v>62</v>
      </c>
      <c r="L12" s="30">
        <v>36</v>
      </c>
    </row>
    <row r="13" spans="1:12" ht="22.5" thickTop="1" thickBot="1" x14ac:dyDescent="0.4">
      <c r="B13" s="16">
        <v>9</v>
      </c>
      <c r="C13" s="28" t="s">
        <v>17</v>
      </c>
      <c r="D13" s="28" t="s">
        <v>55</v>
      </c>
      <c r="E13" s="28"/>
      <c r="F13" s="28"/>
      <c r="G13" s="36">
        <f t="shared" si="0"/>
        <v>0</v>
      </c>
      <c r="I13" s="28" t="s">
        <v>24</v>
      </c>
      <c r="J13" s="28" t="s">
        <v>39</v>
      </c>
      <c r="K13" s="27"/>
      <c r="L13" s="30">
        <v>38</v>
      </c>
    </row>
    <row r="14" spans="1:12" ht="22.5" thickTop="1" thickBot="1" x14ac:dyDescent="0.4">
      <c r="B14" s="18">
        <v>10</v>
      </c>
      <c r="C14" s="28" t="s">
        <v>17</v>
      </c>
      <c r="D14" s="28" t="s">
        <v>56</v>
      </c>
      <c r="E14" s="28"/>
      <c r="F14" s="28"/>
      <c r="G14" s="36">
        <f t="shared" si="0"/>
        <v>0</v>
      </c>
      <c r="I14" s="28" t="s">
        <v>25</v>
      </c>
      <c r="J14" s="28" t="s">
        <v>40</v>
      </c>
      <c r="K14" s="27"/>
      <c r="L14" s="30">
        <v>40</v>
      </c>
    </row>
    <row r="15" spans="1:12" ht="22.5" thickTop="1" thickBot="1" x14ac:dyDescent="0.4">
      <c r="B15" s="16">
        <v>11</v>
      </c>
      <c r="C15" s="28" t="s">
        <v>17</v>
      </c>
      <c r="D15" s="28" t="s">
        <v>57</v>
      </c>
      <c r="E15" s="28"/>
      <c r="F15" s="28"/>
      <c r="G15" s="36">
        <f t="shared" si="0"/>
        <v>0</v>
      </c>
      <c r="I15" s="28" t="s">
        <v>28</v>
      </c>
      <c r="J15" s="28" t="s">
        <v>41</v>
      </c>
      <c r="K15" s="27"/>
      <c r="L15" s="30">
        <v>42</v>
      </c>
    </row>
    <row r="16" spans="1:12" ht="22.5" thickTop="1" thickBot="1" x14ac:dyDescent="0.4">
      <c r="B16" s="18">
        <v>12</v>
      </c>
      <c r="C16" s="28" t="s">
        <v>22</v>
      </c>
      <c r="D16" s="28" t="s">
        <v>55</v>
      </c>
      <c r="E16" s="28"/>
      <c r="F16" s="28"/>
      <c r="G16" s="36">
        <f t="shared" si="0"/>
        <v>0</v>
      </c>
      <c r="I16" s="28" t="s">
        <v>26</v>
      </c>
      <c r="J16" s="27"/>
      <c r="K16" s="27"/>
      <c r="L16" s="30">
        <v>44</v>
      </c>
    </row>
    <row r="17" spans="2:12" ht="30" thickTop="1" thickBot="1" x14ac:dyDescent="0.5">
      <c r="B17" s="143" t="s">
        <v>8</v>
      </c>
      <c r="C17" s="144"/>
      <c r="D17" s="144"/>
      <c r="E17" s="144"/>
      <c r="F17" s="145"/>
      <c r="G17" s="21">
        <f>SUM(G1:G16)</f>
        <v>0</v>
      </c>
      <c r="I17" s="28" t="s">
        <v>27</v>
      </c>
      <c r="J17" s="27"/>
      <c r="K17" s="27"/>
      <c r="L17" s="27"/>
    </row>
    <row r="18" spans="2:12" ht="22.5" thickTop="1" thickBot="1" x14ac:dyDescent="0.4">
      <c r="G18" s="20"/>
      <c r="I18" s="28" t="s">
        <v>29</v>
      </c>
      <c r="J18" s="27"/>
      <c r="K18" s="27"/>
      <c r="L18" s="27"/>
    </row>
    <row r="19" spans="2:12" ht="24.75" thickTop="1" thickBot="1" x14ac:dyDescent="0.4">
      <c r="C19" s="143" t="s">
        <v>7</v>
      </c>
      <c r="D19" s="145"/>
      <c r="E19" s="143">
        <v>49708</v>
      </c>
      <c r="F19" s="145"/>
    </row>
    <row r="20" spans="2:12" ht="24.75" thickTop="1" thickBot="1" x14ac:dyDescent="0.4">
      <c r="C20" s="143" t="s">
        <v>58</v>
      </c>
      <c r="D20" s="145"/>
      <c r="E20" s="143">
        <v>41079</v>
      </c>
      <c r="F20" s="145"/>
    </row>
    <row r="21" spans="2:12" ht="24.75" thickTop="1" thickBot="1" x14ac:dyDescent="0.4">
      <c r="C21" s="143" t="s">
        <v>8</v>
      </c>
      <c r="D21" s="145"/>
      <c r="E21" s="143">
        <f>E19+E20</f>
        <v>90787</v>
      </c>
      <c r="F21" s="145"/>
    </row>
    <row r="22" spans="2:12" ht="15.75" thickTop="1" x14ac:dyDescent="0.25"/>
  </sheetData>
  <mergeCells count="10">
    <mergeCell ref="C20:D20"/>
    <mergeCell ref="E20:F20"/>
    <mergeCell ref="C21:D21"/>
    <mergeCell ref="E21:F21"/>
    <mergeCell ref="A1:G1"/>
    <mergeCell ref="B2:G2"/>
    <mergeCell ref="B3:G3"/>
    <mergeCell ref="B17:F17"/>
    <mergeCell ref="C19:D19"/>
    <mergeCell ref="E19:F19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rightToLeft="1" workbookViewId="0">
      <selection activeCell="E13" sqref="E13"/>
    </sheetView>
  </sheetViews>
  <sheetFormatPr defaultRowHeight="15" x14ac:dyDescent="0.25"/>
  <cols>
    <col min="1" max="1" width="4.28515625" customWidth="1"/>
    <col min="2" max="2" width="5" customWidth="1"/>
    <col min="3" max="3" width="18.7109375" customWidth="1"/>
    <col min="4" max="4" width="11.140625" customWidth="1"/>
    <col min="6" max="6" width="13" customWidth="1"/>
    <col min="7" max="7" width="20.85546875" customWidth="1"/>
    <col min="8" max="8" width="4.85546875" customWidth="1"/>
    <col min="9" max="9" width="24.5703125" customWidth="1"/>
    <col min="10" max="10" width="24.28515625" customWidth="1"/>
  </cols>
  <sheetData>
    <row r="1" spans="2:12" ht="31.5" x14ac:dyDescent="0.55000000000000004">
      <c r="B1" s="139" t="s">
        <v>9</v>
      </c>
      <c r="C1" s="139"/>
      <c r="D1" s="139"/>
      <c r="E1" s="139"/>
      <c r="F1" s="139"/>
      <c r="G1" s="139"/>
    </row>
    <row r="2" spans="2:12" ht="21.75" thickBot="1" x14ac:dyDescent="0.4">
      <c r="B2" s="146" t="s">
        <v>13</v>
      </c>
      <c r="C2" s="146"/>
      <c r="D2" s="146"/>
      <c r="E2" s="146"/>
      <c r="F2" s="146"/>
      <c r="G2" s="146"/>
    </row>
    <row r="3" spans="2:12" ht="24.75" thickTop="1" thickBot="1" x14ac:dyDescent="0.4">
      <c r="B3" s="149" t="s">
        <v>102</v>
      </c>
      <c r="C3" s="149"/>
      <c r="D3" s="149"/>
      <c r="E3" s="149"/>
      <c r="F3" s="149"/>
      <c r="G3" s="149"/>
      <c r="I3" s="69" t="s">
        <v>15</v>
      </c>
      <c r="J3" s="69" t="s">
        <v>30</v>
      </c>
      <c r="K3" s="70" t="s">
        <v>59</v>
      </c>
      <c r="L3" s="70" t="s">
        <v>60</v>
      </c>
    </row>
    <row r="4" spans="2:12" ht="30" thickTop="1" thickBot="1" x14ac:dyDescent="0.5"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H4" s="1"/>
      <c r="I4" s="71" t="s">
        <v>16</v>
      </c>
      <c r="J4" s="70" t="s">
        <v>31</v>
      </c>
      <c r="K4" s="70" t="s">
        <v>54</v>
      </c>
      <c r="L4" s="70">
        <v>2</v>
      </c>
    </row>
    <row r="5" spans="2:12" ht="24.75" thickTop="1" thickBot="1" x14ac:dyDescent="0.4">
      <c r="B5" s="15">
        <v>1</v>
      </c>
      <c r="C5" s="22"/>
      <c r="D5" s="15"/>
      <c r="E5" s="39"/>
      <c r="F5" s="38"/>
      <c r="G5" s="62">
        <f t="shared" ref="G5:G15" si="0">F5*E5</f>
        <v>0</v>
      </c>
      <c r="I5" s="69" t="s">
        <v>17</v>
      </c>
      <c r="J5" s="69" t="s">
        <v>32</v>
      </c>
      <c r="K5" s="70" t="s">
        <v>55</v>
      </c>
      <c r="L5" s="70">
        <v>4</v>
      </c>
    </row>
    <row r="6" spans="2:12" ht="24.75" thickTop="1" thickBot="1" x14ac:dyDescent="0.4">
      <c r="B6" s="16">
        <v>2</v>
      </c>
      <c r="C6" s="23"/>
      <c r="D6" s="5"/>
      <c r="E6" s="24"/>
      <c r="F6" s="36"/>
      <c r="G6" s="62">
        <f t="shared" si="0"/>
        <v>0</v>
      </c>
      <c r="I6" s="69" t="s">
        <v>18</v>
      </c>
      <c r="J6" s="72" t="s">
        <v>33</v>
      </c>
      <c r="K6" s="70" t="s">
        <v>56</v>
      </c>
      <c r="L6" s="70">
        <v>6</v>
      </c>
    </row>
    <row r="7" spans="2:12" ht="24.75" thickTop="1" thickBot="1" x14ac:dyDescent="0.4">
      <c r="B7" s="16">
        <v>3</v>
      </c>
      <c r="C7" s="24"/>
      <c r="D7" s="4"/>
      <c r="E7" s="24"/>
      <c r="F7" s="36"/>
      <c r="G7" s="62">
        <f t="shared" si="0"/>
        <v>0</v>
      </c>
      <c r="I7" s="69" t="s">
        <v>19</v>
      </c>
      <c r="J7" s="69" t="s">
        <v>34</v>
      </c>
      <c r="K7" s="70" t="s">
        <v>57</v>
      </c>
      <c r="L7" s="70">
        <v>8</v>
      </c>
    </row>
    <row r="8" spans="2:12" ht="24.75" thickTop="1" thickBot="1" x14ac:dyDescent="0.4">
      <c r="B8" s="18">
        <v>4</v>
      </c>
      <c r="C8" s="22"/>
      <c r="D8" s="5"/>
      <c r="E8" s="24"/>
      <c r="F8" s="36"/>
      <c r="G8" s="62">
        <f t="shared" si="0"/>
        <v>0</v>
      </c>
      <c r="I8" s="69" t="s">
        <v>20</v>
      </c>
      <c r="J8" s="69" t="s">
        <v>35</v>
      </c>
      <c r="K8" s="73" t="s">
        <v>52</v>
      </c>
      <c r="L8" s="70">
        <v>10</v>
      </c>
    </row>
    <row r="9" spans="2:12" ht="24.75" thickTop="1" thickBot="1" x14ac:dyDescent="0.4">
      <c r="B9" s="16">
        <v>5</v>
      </c>
      <c r="C9" s="4"/>
      <c r="D9" s="4"/>
      <c r="E9" s="24"/>
      <c r="F9" s="36"/>
      <c r="G9" s="62">
        <f t="shared" si="0"/>
        <v>0</v>
      </c>
      <c r="I9" s="69" t="s">
        <v>21</v>
      </c>
      <c r="J9" s="69" t="s">
        <v>36</v>
      </c>
      <c r="K9" s="73" t="s">
        <v>53</v>
      </c>
      <c r="L9" s="70">
        <v>12</v>
      </c>
    </row>
    <row r="10" spans="2:12" ht="24.75" thickTop="1" thickBot="1" x14ac:dyDescent="0.4">
      <c r="B10" s="18">
        <v>6</v>
      </c>
      <c r="C10" s="4"/>
      <c r="D10" s="4"/>
      <c r="E10" s="24"/>
      <c r="F10" s="36"/>
      <c r="G10" s="62">
        <f t="shared" si="0"/>
        <v>0</v>
      </c>
      <c r="I10" s="69" t="s">
        <v>22</v>
      </c>
      <c r="J10" s="69" t="s">
        <v>37</v>
      </c>
      <c r="K10" s="73" t="s">
        <v>61</v>
      </c>
      <c r="L10" s="70">
        <v>34</v>
      </c>
    </row>
    <row r="11" spans="2:12" ht="24.75" thickTop="1" thickBot="1" x14ac:dyDescent="0.4">
      <c r="B11" s="16">
        <v>7</v>
      </c>
      <c r="C11" s="4"/>
      <c r="D11" s="4"/>
      <c r="E11" s="24"/>
      <c r="F11" s="36"/>
      <c r="G11" s="62">
        <f t="shared" si="0"/>
        <v>0</v>
      </c>
      <c r="I11" s="69" t="s">
        <v>23</v>
      </c>
      <c r="J11" s="69" t="s">
        <v>38</v>
      </c>
      <c r="K11" s="73" t="s">
        <v>62</v>
      </c>
      <c r="L11" s="70">
        <v>36</v>
      </c>
    </row>
    <row r="12" spans="2:12" ht="24.75" thickTop="1" thickBot="1" x14ac:dyDescent="0.4">
      <c r="B12" s="18">
        <v>8</v>
      </c>
      <c r="C12" s="12"/>
      <c r="D12" s="12"/>
      <c r="E12" s="85"/>
      <c r="F12" s="86"/>
      <c r="G12" s="62">
        <f t="shared" si="0"/>
        <v>0</v>
      </c>
      <c r="I12" s="69" t="s">
        <v>24</v>
      </c>
      <c r="J12" s="69" t="s">
        <v>39</v>
      </c>
      <c r="K12" s="74"/>
      <c r="L12" s="70">
        <v>38</v>
      </c>
    </row>
    <row r="13" spans="2:12" ht="24" customHeight="1" thickTop="1" thickBot="1" x14ac:dyDescent="0.4">
      <c r="B13" s="16">
        <v>9</v>
      </c>
      <c r="C13" s="87"/>
      <c r="D13" s="88"/>
      <c r="E13" s="24"/>
      <c r="F13" s="89"/>
      <c r="G13" s="62">
        <f t="shared" si="0"/>
        <v>0</v>
      </c>
      <c r="I13" s="69" t="s">
        <v>25</v>
      </c>
      <c r="J13" s="69" t="s">
        <v>40</v>
      </c>
      <c r="K13" s="74"/>
      <c r="L13" s="70">
        <v>40</v>
      </c>
    </row>
    <row r="14" spans="2:12" ht="21" customHeight="1" thickTop="1" thickBot="1" x14ac:dyDescent="0.4">
      <c r="B14" s="90">
        <v>10</v>
      </c>
      <c r="C14" s="91"/>
      <c r="D14" s="92"/>
      <c r="E14" s="93"/>
      <c r="F14" s="94"/>
      <c r="G14" s="62">
        <f t="shared" si="0"/>
        <v>0</v>
      </c>
      <c r="I14" s="69" t="s">
        <v>28</v>
      </c>
      <c r="J14" s="69" t="s">
        <v>41</v>
      </c>
      <c r="K14" s="74"/>
      <c r="L14" s="70">
        <v>42</v>
      </c>
    </row>
    <row r="15" spans="2:12" ht="21" customHeight="1" thickTop="1" thickBot="1" x14ac:dyDescent="0.4">
      <c r="B15" s="12">
        <v>11</v>
      </c>
      <c r="C15" s="12"/>
      <c r="D15" s="85"/>
      <c r="E15" s="86"/>
      <c r="F15" s="12"/>
      <c r="G15" s="62">
        <f t="shared" si="0"/>
        <v>0</v>
      </c>
      <c r="I15" s="69"/>
      <c r="J15" s="69"/>
      <c r="K15" s="74"/>
      <c r="L15" s="70"/>
    </row>
    <row r="16" spans="2:12" ht="33.75" customHeight="1" thickTop="1" thickBot="1" x14ac:dyDescent="0.5">
      <c r="B16" s="30"/>
      <c r="C16" s="133" t="s">
        <v>8</v>
      </c>
      <c r="D16" s="158"/>
      <c r="E16" s="158"/>
      <c r="F16" s="134"/>
      <c r="G16" s="2">
        <f>SUM(G5:G15)</f>
        <v>0</v>
      </c>
      <c r="I16" s="69" t="s">
        <v>26</v>
      </c>
      <c r="J16" s="74"/>
      <c r="K16" s="74"/>
      <c r="L16" s="70">
        <v>44</v>
      </c>
    </row>
    <row r="17" spans="3:12" ht="22.5" thickTop="1" thickBot="1" x14ac:dyDescent="0.4">
      <c r="G17" s="1"/>
      <c r="I17" s="69" t="s">
        <v>27</v>
      </c>
      <c r="J17" s="74"/>
      <c r="K17" s="74"/>
      <c r="L17" s="74"/>
    </row>
    <row r="18" spans="3:12" ht="24.75" thickTop="1" thickBot="1" x14ac:dyDescent="0.4">
      <c r="C18" s="143" t="s">
        <v>7</v>
      </c>
      <c r="D18" s="145"/>
      <c r="E18" s="143">
        <v>48725</v>
      </c>
      <c r="F18" s="145"/>
      <c r="I18" s="69" t="s">
        <v>29</v>
      </c>
      <c r="J18" s="74"/>
      <c r="K18" s="74"/>
      <c r="L18" s="74"/>
    </row>
    <row r="19" spans="3:12" ht="24.75" thickTop="1" thickBot="1" x14ac:dyDescent="0.4">
      <c r="C19" s="143" t="s">
        <v>12</v>
      </c>
      <c r="D19" s="145"/>
      <c r="E19" s="143">
        <v>44460</v>
      </c>
      <c r="F19" s="145"/>
    </row>
    <row r="20" spans="3:12" ht="24.75" thickTop="1" thickBot="1" x14ac:dyDescent="0.4">
      <c r="C20" s="143" t="s">
        <v>8</v>
      </c>
      <c r="D20" s="145"/>
      <c r="E20" s="143">
        <f>E18+E19</f>
        <v>93185</v>
      </c>
      <c r="F20" s="145"/>
    </row>
    <row r="21" spans="3:12" ht="15.75" thickTop="1" x14ac:dyDescent="0.25"/>
  </sheetData>
  <mergeCells count="10">
    <mergeCell ref="C19:D19"/>
    <mergeCell ref="E19:F19"/>
    <mergeCell ref="C20:D20"/>
    <mergeCell ref="E20:F20"/>
    <mergeCell ref="B1:G1"/>
    <mergeCell ref="B2:G2"/>
    <mergeCell ref="B3:G3"/>
    <mergeCell ref="C16:F16"/>
    <mergeCell ref="C18:D18"/>
    <mergeCell ref="E18:F18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rightToLeft="1" workbookViewId="0">
      <selection activeCell="G17" sqref="G17"/>
    </sheetView>
  </sheetViews>
  <sheetFormatPr defaultRowHeight="15" x14ac:dyDescent="0.25"/>
  <cols>
    <col min="1" max="1" width="2.85546875" customWidth="1"/>
    <col min="2" max="2" width="4.140625" bestFit="1" customWidth="1"/>
    <col min="3" max="3" width="31.42578125" bestFit="1" customWidth="1"/>
    <col min="4" max="4" width="11.140625" bestFit="1" customWidth="1"/>
    <col min="5" max="5" width="9.28515625" bestFit="1" customWidth="1"/>
    <col min="6" max="6" width="13.42578125" customWidth="1"/>
    <col min="7" max="7" width="15.140625" bestFit="1" customWidth="1"/>
    <col min="8" max="8" width="7.5703125" customWidth="1"/>
    <col min="9" max="9" width="27" customWidth="1"/>
    <col min="10" max="10" width="22.140625" customWidth="1"/>
  </cols>
  <sheetData>
    <row r="1" spans="2:12" ht="31.5" x14ac:dyDescent="0.55000000000000004">
      <c r="B1" s="139" t="s">
        <v>9</v>
      </c>
      <c r="C1" s="139"/>
      <c r="D1" s="139"/>
      <c r="E1" s="139"/>
      <c r="F1" s="139"/>
      <c r="G1" s="139"/>
    </row>
    <row r="2" spans="2:12" ht="21.75" thickBot="1" x14ac:dyDescent="0.4">
      <c r="B2" s="146" t="s">
        <v>64</v>
      </c>
      <c r="C2" s="146"/>
      <c r="D2" s="146"/>
      <c r="E2" s="146"/>
      <c r="F2" s="146"/>
      <c r="G2" s="146"/>
    </row>
    <row r="3" spans="2:12" ht="22.5" thickTop="1" thickBot="1" x14ac:dyDescent="0.4">
      <c r="B3" s="147" t="s">
        <v>46</v>
      </c>
      <c r="C3" s="147"/>
      <c r="D3" s="147"/>
      <c r="E3" s="147"/>
      <c r="F3" s="147"/>
      <c r="G3" s="147"/>
      <c r="I3" s="28" t="s">
        <v>15</v>
      </c>
      <c r="J3" s="28" t="s">
        <v>30</v>
      </c>
      <c r="K3" s="30" t="s">
        <v>59</v>
      </c>
      <c r="L3" s="30" t="s">
        <v>60</v>
      </c>
    </row>
    <row r="4" spans="2:12" ht="30" thickTop="1" thickBot="1" x14ac:dyDescent="0.5"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3" t="s">
        <v>4</v>
      </c>
      <c r="I4" s="29" t="s">
        <v>16</v>
      </c>
      <c r="J4" s="30" t="s">
        <v>31</v>
      </c>
      <c r="K4" s="30" t="s">
        <v>54</v>
      </c>
      <c r="L4" s="30">
        <v>2</v>
      </c>
    </row>
    <row r="5" spans="2:12" ht="24.75" thickTop="1" thickBot="1" x14ac:dyDescent="0.4">
      <c r="B5" s="15">
        <v>1</v>
      </c>
      <c r="C5" s="22" t="s">
        <v>32</v>
      </c>
      <c r="D5" s="62" t="s">
        <v>56</v>
      </c>
      <c r="E5" s="9">
        <v>5</v>
      </c>
      <c r="F5" s="64">
        <v>560</v>
      </c>
      <c r="G5" s="65">
        <f>F5*E5</f>
        <v>2800</v>
      </c>
      <c r="I5" s="28" t="s">
        <v>17</v>
      </c>
      <c r="J5" s="28" t="s">
        <v>32</v>
      </c>
      <c r="K5" s="30" t="s">
        <v>55</v>
      </c>
      <c r="L5" s="30">
        <v>4</v>
      </c>
    </row>
    <row r="6" spans="2:12" ht="24.75" thickTop="1" thickBot="1" x14ac:dyDescent="0.4">
      <c r="B6" s="16">
        <v>2</v>
      </c>
      <c r="C6" s="23" t="s">
        <v>32</v>
      </c>
      <c r="D6" s="5" t="s">
        <v>52</v>
      </c>
      <c r="E6" s="5">
        <v>5</v>
      </c>
      <c r="F6" s="4">
        <v>630</v>
      </c>
      <c r="G6" s="4">
        <f>F6*E6</f>
        <v>3150</v>
      </c>
      <c r="I6" s="28" t="s">
        <v>18</v>
      </c>
      <c r="J6" s="31" t="s">
        <v>33</v>
      </c>
      <c r="K6" s="30" t="s">
        <v>56</v>
      </c>
      <c r="L6" s="30">
        <v>6</v>
      </c>
    </row>
    <row r="7" spans="2:12" ht="24.75" thickTop="1" thickBot="1" x14ac:dyDescent="0.4">
      <c r="B7" s="16">
        <v>3</v>
      </c>
      <c r="C7" s="24" t="s">
        <v>33</v>
      </c>
      <c r="D7" s="4" t="s">
        <v>55</v>
      </c>
      <c r="E7" s="5">
        <v>2</v>
      </c>
      <c r="F7" s="4">
        <v>530</v>
      </c>
      <c r="G7" s="4">
        <f t="shared" ref="G7:G14" si="0">F7*E7</f>
        <v>1060</v>
      </c>
      <c r="I7" s="28" t="s">
        <v>19</v>
      </c>
      <c r="J7" s="28" t="s">
        <v>34</v>
      </c>
      <c r="K7" s="30" t="s">
        <v>57</v>
      </c>
      <c r="L7" s="30">
        <v>8</v>
      </c>
    </row>
    <row r="8" spans="2:12" ht="24.75" thickTop="1" thickBot="1" x14ac:dyDescent="0.4">
      <c r="B8" s="18">
        <v>4</v>
      </c>
      <c r="C8" s="22" t="s">
        <v>33</v>
      </c>
      <c r="D8" s="5" t="s">
        <v>56</v>
      </c>
      <c r="E8" s="5">
        <v>2</v>
      </c>
      <c r="F8" s="4">
        <v>560</v>
      </c>
      <c r="G8" s="4">
        <f t="shared" si="0"/>
        <v>1120</v>
      </c>
      <c r="I8" s="28" t="s">
        <v>20</v>
      </c>
      <c r="J8" s="28" t="s">
        <v>35</v>
      </c>
      <c r="K8" s="26" t="s">
        <v>52</v>
      </c>
      <c r="L8" s="30">
        <v>10</v>
      </c>
    </row>
    <row r="9" spans="2:12" ht="24.75" thickTop="1" thickBot="1" x14ac:dyDescent="0.4">
      <c r="B9" s="16">
        <v>5</v>
      </c>
      <c r="C9" s="36" t="s">
        <v>33</v>
      </c>
      <c r="D9" s="4" t="s">
        <v>57</v>
      </c>
      <c r="E9" s="5">
        <v>2</v>
      </c>
      <c r="F9" s="4">
        <v>590</v>
      </c>
      <c r="G9" s="4">
        <f t="shared" si="0"/>
        <v>1180</v>
      </c>
      <c r="I9" s="28" t="s">
        <v>21</v>
      </c>
      <c r="J9" s="28" t="s">
        <v>36</v>
      </c>
      <c r="K9" s="26" t="s">
        <v>53</v>
      </c>
      <c r="L9" s="30">
        <v>12</v>
      </c>
    </row>
    <row r="10" spans="2:12" ht="24.75" thickTop="1" thickBot="1" x14ac:dyDescent="0.4">
      <c r="B10" s="18">
        <v>6</v>
      </c>
      <c r="C10" s="36" t="s">
        <v>33</v>
      </c>
      <c r="D10" s="4" t="s">
        <v>52</v>
      </c>
      <c r="E10" s="5">
        <v>2</v>
      </c>
      <c r="F10" s="4">
        <v>630</v>
      </c>
      <c r="G10" s="4">
        <f t="shared" si="0"/>
        <v>1260</v>
      </c>
      <c r="I10" s="28" t="s">
        <v>22</v>
      </c>
      <c r="J10" s="28" t="s">
        <v>37</v>
      </c>
      <c r="K10" s="26" t="s">
        <v>61</v>
      </c>
      <c r="L10" s="30">
        <v>34</v>
      </c>
    </row>
    <row r="11" spans="2:12" ht="24.75" thickTop="1" thickBot="1" x14ac:dyDescent="0.4">
      <c r="B11" s="16">
        <v>7</v>
      </c>
      <c r="C11" s="36" t="s">
        <v>33</v>
      </c>
      <c r="D11" s="4" t="s">
        <v>53</v>
      </c>
      <c r="E11" s="5">
        <v>2</v>
      </c>
      <c r="F11" s="4">
        <v>670</v>
      </c>
      <c r="G11" s="4">
        <f t="shared" si="0"/>
        <v>1340</v>
      </c>
      <c r="I11" s="28" t="s">
        <v>23</v>
      </c>
      <c r="J11" s="28" t="s">
        <v>38</v>
      </c>
      <c r="K11" s="26" t="s">
        <v>62</v>
      </c>
      <c r="L11" s="30">
        <v>36</v>
      </c>
    </row>
    <row r="12" spans="2:12" ht="24.75" thickTop="1" thickBot="1" x14ac:dyDescent="0.4">
      <c r="B12" s="18">
        <v>8</v>
      </c>
      <c r="C12" s="28" t="s">
        <v>23</v>
      </c>
      <c r="D12" s="4">
        <v>38</v>
      </c>
      <c r="E12" s="5">
        <v>5</v>
      </c>
      <c r="F12" s="4">
        <v>420</v>
      </c>
      <c r="G12" s="4">
        <f t="shared" si="0"/>
        <v>2100</v>
      </c>
      <c r="I12" s="28" t="s">
        <v>24</v>
      </c>
      <c r="J12" s="28" t="s">
        <v>39</v>
      </c>
      <c r="K12" s="27"/>
      <c r="L12" s="30">
        <v>38</v>
      </c>
    </row>
    <row r="13" spans="2:12" ht="26.25" customHeight="1" thickTop="1" thickBot="1" x14ac:dyDescent="0.4">
      <c r="B13" s="16">
        <v>9</v>
      </c>
      <c r="C13" s="28" t="s">
        <v>23</v>
      </c>
      <c r="D13" s="40">
        <v>40</v>
      </c>
      <c r="E13" s="32">
        <v>5</v>
      </c>
      <c r="F13" s="32">
        <v>440</v>
      </c>
      <c r="G13" s="4">
        <f t="shared" si="0"/>
        <v>2200</v>
      </c>
      <c r="I13" s="28" t="s">
        <v>25</v>
      </c>
      <c r="J13" s="28" t="s">
        <v>40</v>
      </c>
      <c r="K13" s="27"/>
      <c r="L13" s="30">
        <v>40</v>
      </c>
    </row>
    <row r="14" spans="2:12" ht="26.25" customHeight="1" thickTop="1" thickBot="1" x14ac:dyDescent="0.4">
      <c r="B14" s="18">
        <v>10</v>
      </c>
      <c r="C14" s="28" t="s">
        <v>23</v>
      </c>
      <c r="D14" s="40">
        <v>42</v>
      </c>
      <c r="E14" s="32">
        <v>5</v>
      </c>
      <c r="F14" s="32">
        <v>460</v>
      </c>
      <c r="G14" s="4">
        <f t="shared" si="0"/>
        <v>2300</v>
      </c>
      <c r="I14" s="28" t="s">
        <v>28</v>
      </c>
      <c r="J14" s="28" t="s">
        <v>41</v>
      </c>
      <c r="K14" s="27"/>
      <c r="L14" s="30">
        <v>42</v>
      </c>
    </row>
    <row r="15" spans="2:12" ht="26.25" customHeight="1" thickTop="1" thickBot="1" x14ac:dyDescent="0.4">
      <c r="B15" s="159" t="s">
        <v>67</v>
      </c>
      <c r="C15" s="160"/>
      <c r="D15" s="160"/>
      <c r="E15" s="160"/>
      <c r="F15" s="161"/>
      <c r="G15" s="66">
        <f>SUM(G5:G14)</f>
        <v>18510</v>
      </c>
      <c r="I15" s="28" t="s">
        <v>26</v>
      </c>
      <c r="J15" s="27"/>
      <c r="K15" s="27"/>
      <c r="L15" s="30">
        <v>44</v>
      </c>
    </row>
    <row r="16" spans="2:12" ht="22.5" thickTop="1" thickBot="1" x14ac:dyDescent="0.4">
      <c r="G16" s="20"/>
      <c r="I16" s="28" t="s">
        <v>27</v>
      </c>
      <c r="J16" s="27"/>
      <c r="K16" s="27"/>
      <c r="L16" s="27"/>
    </row>
    <row r="17" spans="3:12" ht="26.25" customHeight="1" thickTop="1" thickBot="1" x14ac:dyDescent="0.4">
      <c r="C17" s="143" t="s">
        <v>7</v>
      </c>
      <c r="D17" s="145"/>
      <c r="E17" s="143">
        <v>74165</v>
      </c>
      <c r="F17" s="145"/>
      <c r="I17" s="28" t="s">
        <v>29</v>
      </c>
      <c r="J17" s="27"/>
      <c r="K17" s="27"/>
      <c r="L17" s="27"/>
    </row>
    <row r="18" spans="3:12" ht="26.25" customHeight="1" thickTop="1" thickBot="1" x14ac:dyDescent="0.4">
      <c r="C18" s="143" t="s">
        <v>66</v>
      </c>
      <c r="D18" s="145"/>
      <c r="E18" s="143">
        <v>18510</v>
      </c>
      <c r="F18" s="145"/>
    </row>
    <row r="19" spans="3:12" ht="26.25" customHeight="1" thickTop="1" thickBot="1" x14ac:dyDescent="0.4">
      <c r="C19" s="162" t="s">
        <v>67</v>
      </c>
      <c r="D19" s="163"/>
      <c r="E19" s="143">
        <f>E17+E18</f>
        <v>92675</v>
      </c>
      <c r="F19" s="145"/>
    </row>
    <row r="20" spans="3:12" ht="15.75" thickTop="1" x14ac:dyDescent="0.25"/>
    <row r="21" spans="3:12" ht="31.5" x14ac:dyDescent="0.5">
      <c r="C21" s="67"/>
    </row>
  </sheetData>
  <mergeCells count="10">
    <mergeCell ref="E17:F17"/>
    <mergeCell ref="E18:F18"/>
    <mergeCell ref="E19:F19"/>
    <mergeCell ref="B15:F15"/>
    <mergeCell ref="B1:G1"/>
    <mergeCell ref="B2:G2"/>
    <mergeCell ref="B3:G3"/>
    <mergeCell ref="C17:D17"/>
    <mergeCell ref="C18:D18"/>
    <mergeCell ref="C19:D19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rightToLeft="1" workbookViewId="0">
      <selection activeCell="E19" sqref="E19"/>
    </sheetView>
  </sheetViews>
  <sheetFormatPr defaultRowHeight="15" x14ac:dyDescent="0.25"/>
  <cols>
    <col min="1" max="1" width="5" customWidth="1"/>
    <col min="2" max="2" width="18.7109375" customWidth="1"/>
    <col min="3" max="3" width="11.140625" customWidth="1"/>
    <col min="5" max="5" width="13" customWidth="1"/>
    <col min="6" max="6" width="20.85546875" customWidth="1"/>
    <col min="7" max="7" width="20.28515625" customWidth="1"/>
    <col min="8" max="8" width="24.5703125" customWidth="1"/>
    <col min="9" max="9" width="6.28515625" customWidth="1"/>
    <col min="10" max="10" width="24.28515625" customWidth="1"/>
  </cols>
  <sheetData>
    <row r="1" spans="1:12" ht="31.5" x14ac:dyDescent="0.55000000000000004">
      <c r="A1" s="139" t="s">
        <v>9</v>
      </c>
      <c r="B1" s="139"/>
      <c r="C1" s="139"/>
      <c r="D1" s="139"/>
      <c r="E1" s="139"/>
      <c r="F1" s="139"/>
    </row>
    <row r="2" spans="1:12" ht="21.75" thickBot="1" x14ac:dyDescent="0.4">
      <c r="A2" s="146" t="s">
        <v>13</v>
      </c>
      <c r="B2" s="146"/>
      <c r="C2" s="146"/>
      <c r="D2" s="146"/>
      <c r="E2" s="146"/>
      <c r="F2" s="146"/>
    </row>
    <row r="3" spans="1:12" ht="22.5" thickTop="1" thickBot="1" x14ac:dyDescent="0.4">
      <c r="A3" s="147" t="s">
        <v>48</v>
      </c>
      <c r="B3" s="147"/>
      <c r="C3" s="147"/>
      <c r="D3" s="147"/>
      <c r="E3" s="147"/>
      <c r="F3" s="147"/>
      <c r="H3" s="28" t="s">
        <v>15</v>
      </c>
      <c r="I3" s="27"/>
      <c r="J3" s="28" t="s">
        <v>30</v>
      </c>
      <c r="K3" s="30" t="s">
        <v>59</v>
      </c>
      <c r="L3" s="30" t="s">
        <v>60</v>
      </c>
    </row>
    <row r="4" spans="1:12" ht="30" thickTop="1" thickBot="1" x14ac:dyDescent="0.5">
      <c r="A4" s="19" t="s">
        <v>5</v>
      </c>
      <c r="B4" s="3" t="s">
        <v>0</v>
      </c>
      <c r="C4" s="3" t="s">
        <v>14</v>
      </c>
      <c r="D4" s="2" t="s">
        <v>3</v>
      </c>
      <c r="E4" s="3" t="s">
        <v>2</v>
      </c>
      <c r="F4" s="2" t="s">
        <v>4</v>
      </c>
      <c r="G4" s="1"/>
      <c r="H4" s="29" t="s">
        <v>16</v>
      </c>
      <c r="I4" s="27"/>
      <c r="J4" s="30" t="s">
        <v>31</v>
      </c>
      <c r="K4" s="30" t="s">
        <v>54</v>
      </c>
      <c r="L4" s="30">
        <v>2</v>
      </c>
    </row>
    <row r="5" spans="1:12" ht="22.5" thickTop="1" thickBot="1" x14ac:dyDescent="0.4">
      <c r="A5" s="15">
        <v>1</v>
      </c>
      <c r="B5" s="22"/>
      <c r="C5" s="15"/>
      <c r="D5" s="9">
        <v>8</v>
      </c>
      <c r="E5" s="8">
        <v>1190</v>
      </c>
      <c r="F5" s="15">
        <f>E5*D5</f>
        <v>9520</v>
      </c>
      <c r="H5" s="28" t="s">
        <v>17</v>
      </c>
      <c r="I5" s="27"/>
      <c r="J5" s="28" t="s">
        <v>32</v>
      </c>
      <c r="K5" s="30" t="s">
        <v>55</v>
      </c>
      <c r="L5" s="30">
        <v>4</v>
      </c>
    </row>
    <row r="6" spans="1:12" ht="24.75" thickTop="1" thickBot="1" x14ac:dyDescent="0.4">
      <c r="A6" s="16">
        <v>2</v>
      </c>
      <c r="B6" s="23"/>
      <c r="C6" s="5"/>
      <c r="D6" s="5">
        <v>7</v>
      </c>
      <c r="E6" s="4">
        <v>1250</v>
      </c>
      <c r="F6" s="16">
        <f>E6*D6</f>
        <v>8750</v>
      </c>
      <c r="H6" s="28" t="s">
        <v>18</v>
      </c>
      <c r="I6" s="27"/>
      <c r="J6" s="31" t="s">
        <v>33</v>
      </c>
      <c r="K6" s="30" t="s">
        <v>56</v>
      </c>
      <c r="L6" s="30">
        <v>6</v>
      </c>
    </row>
    <row r="7" spans="1:12" ht="24.75" thickTop="1" thickBot="1" x14ac:dyDescent="0.4">
      <c r="A7" s="16">
        <v>3</v>
      </c>
      <c r="B7" s="24"/>
      <c r="C7" s="4"/>
      <c r="D7" s="5">
        <v>7</v>
      </c>
      <c r="E7" s="4">
        <v>1370</v>
      </c>
      <c r="F7" s="16">
        <f t="shared" ref="F7:F12" si="0">E7*D7</f>
        <v>9590</v>
      </c>
      <c r="H7" s="28" t="s">
        <v>19</v>
      </c>
      <c r="I7" s="27"/>
      <c r="J7" s="28" t="s">
        <v>34</v>
      </c>
      <c r="K7" s="30" t="s">
        <v>57</v>
      </c>
      <c r="L7" s="30">
        <v>8</v>
      </c>
    </row>
    <row r="8" spans="1:12" ht="24.75" thickTop="1" thickBot="1" x14ac:dyDescent="0.4">
      <c r="A8" s="18">
        <v>4</v>
      </c>
      <c r="B8" s="22"/>
      <c r="C8" s="5"/>
      <c r="D8" s="5">
        <v>8</v>
      </c>
      <c r="E8" s="4">
        <v>1430</v>
      </c>
      <c r="F8" s="16">
        <f t="shared" si="0"/>
        <v>11440</v>
      </c>
      <c r="H8" s="28" t="s">
        <v>20</v>
      </c>
      <c r="I8" s="27"/>
      <c r="J8" s="28" t="s">
        <v>35</v>
      </c>
      <c r="K8" s="26" t="s">
        <v>52</v>
      </c>
      <c r="L8" s="30">
        <v>10</v>
      </c>
    </row>
    <row r="9" spans="1:12" ht="24.75" thickTop="1" thickBot="1" x14ac:dyDescent="0.4">
      <c r="A9" s="16">
        <v>5</v>
      </c>
      <c r="B9" s="4"/>
      <c r="C9" s="4"/>
      <c r="D9" s="5">
        <v>3</v>
      </c>
      <c r="E9" s="4">
        <v>580</v>
      </c>
      <c r="F9" s="16">
        <f t="shared" si="0"/>
        <v>1740</v>
      </c>
      <c r="H9" s="28" t="s">
        <v>21</v>
      </c>
      <c r="I9" s="27"/>
      <c r="J9" s="28" t="s">
        <v>36</v>
      </c>
      <c r="K9" s="26" t="s">
        <v>53</v>
      </c>
      <c r="L9" s="30">
        <v>12</v>
      </c>
    </row>
    <row r="10" spans="1:12" ht="24.75" thickTop="1" thickBot="1" x14ac:dyDescent="0.4">
      <c r="A10" s="18">
        <v>6</v>
      </c>
      <c r="B10" s="4"/>
      <c r="C10" s="4"/>
      <c r="D10" s="5">
        <v>3</v>
      </c>
      <c r="E10" s="4">
        <v>610</v>
      </c>
      <c r="F10" s="16">
        <f t="shared" si="0"/>
        <v>1830</v>
      </c>
      <c r="H10" s="28" t="s">
        <v>22</v>
      </c>
      <c r="I10" s="27"/>
      <c r="J10" s="28" t="s">
        <v>37</v>
      </c>
      <c r="K10" s="26" t="s">
        <v>61</v>
      </c>
      <c r="L10" s="30">
        <v>34</v>
      </c>
    </row>
    <row r="11" spans="1:12" ht="24.75" thickTop="1" thickBot="1" x14ac:dyDescent="0.4">
      <c r="A11" s="16">
        <v>7</v>
      </c>
      <c r="B11" s="4"/>
      <c r="C11" s="4"/>
      <c r="D11" s="5">
        <v>3</v>
      </c>
      <c r="E11" s="4">
        <v>640</v>
      </c>
      <c r="F11" s="16">
        <f t="shared" si="0"/>
        <v>1920</v>
      </c>
      <c r="H11" s="28" t="s">
        <v>23</v>
      </c>
      <c r="I11" s="27"/>
      <c r="J11" s="28" t="s">
        <v>38</v>
      </c>
      <c r="K11" s="26" t="s">
        <v>62</v>
      </c>
      <c r="L11" s="30">
        <v>36</v>
      </c>
    </row>
    <row r="12" spans="1:12" ht="24.75" thickTop="1" thickBot="1" x14ac:dyDescent="0.4">
      <c r="A12" s="18">
        <v>8</v>
      </c>
      <c r="B12" s="4"/>
      <c r="C12" s="4"/>
      <c r="D12" s="5">
        <v>3</v>
      </c>
      <c r="E12" s="4">
        <v>670</v>
      </c>
      <c r="F12" s="16">
        <f t="shared" si="0"/>
        <v>2010</v>
      </c>
      <c r="H12" s="28" t="s">
        <v>24</v>
      </c>
      <c r="I12" s="27"/>
      <c r="J12" s="28" t="s">
        <v>39</v>
      </c>
      <c r="K12" s="27"/>
      <c r="L12" s="30">
        <v>38</v>
      </c>
    </row>
    <row r="13" spans="1:12" ht="30" thickTop="1" thickBot="1" x14ac:dyDescent="0.5">
      <c r="A13" s="143" t="s">
        <v>1</v>
      </c>
      <c r="B13" s="144"/>
      <c r="C13" s="144"/>
      <c r="D13" s="144"/>
      <c r="E13" s="145"/>
      <c r="F13" s="2">
        <f>SUM(F5:F12)</f>
        <v>46800</v>
      </c>
      <c r="H13" s="28" t="s">
        <v>25</v>
      </c>
      <c r="I13" s="27"/>
      <c r="J13" s="28" t="s">
        <v>40</v>
      </c>
      <c r="K13" s="27"/>
      <c r="L13" s="30">
        <v>40</v>
      </c>
    </row>
    <row r="14" spans="1:12" ht="22.5" thickTop="1" thickBot="1" x14ac:dyDescent="0.4">
      <c r="F14" s="1"/>
      <c r="H14" s="28" t="s">
        <v>28</v>
      </c>
      <c r="I14" s="27"/>
      <c r="J14" s="28" t="s">
        <v>41</v>
      </c>
      <c r="K14" s="27"/>
      <c r="L14" s="30">
        <v>42</v>
      </c>
    </row>
    <row r="15" spans="1:12" ht="24.75" thickTop="1" thickBot="1" x14ac:dyDescent="0.4">
      <c r="B15" s="143" t="s">
        <v>7</v>
      </c>
      <c r="C15" s="144"/>
      <c r="D15" s="164">
        <v>48725</v>
      </c>
      <c r="E15" s="164"/>
      <c r="F15" s="1"/>
      <c r="H15" s="28" t="s">
        <v>26</v>
      </c>
      <c r="I15" s="27"/>
      <c r="J15" s="27"/>
      <c r="K15" s="27"/>
      <c r="L15" s="30">
        <v>44</v>
      </c>
    </row>
    <row r="16" spans="1:12" ht="24.75" thickTop="1" thickBot="1" x14ac:dyDescent="0.4">
      <c r="B16" s="143" t="s">
        <v>12</v>
      </c>
      <c r="C16" s="144"/>
      <c r="D16" s="164">
        <v>44460</v>
      </c>
      <c r="E16" s="164"/>
      <c r="F16" s="1"/>
      <c r="H16" s="28" t="s">
        <v>27</v>
      </c>
      <c r="I16" s="27"/>
      <c r="J16" s="27"/>
      <c r="K16" s="27"/>
      <c r="L16" s="27"/>
    </row>
    <row r="17" spans="2:12" ht="24.75" thickTop="1" thickBot="1" x14ac:dyDescent="0.4">
      <c r="B17" s="143" t="s">
        <v>8</v>
      </c>
      <c r="C17" s="144"/>
      <c r="D17" s="164">
        <f>D15+D16</f>
        <v>93185</v>
      </c>
      <c r="E17" s="164"/>
      <c r="H17" s="28" t="s">
        <v>29</v>
      </c>
      <c r="I17" s="27"/>
      <c r="J17" s="27"/>
      <c r="K17" s="27"/>
      <c r="L17" s="27"/>
    </row>
    <row r="18" spans="2:12" ht="15.75" thickTop="1" x14ac:dyDescent="0.25"/>
    <row r="21" spans="2:12" ht="15.75" thickBot="1" x14ac:dyDescent="0.3"/>
    <row r="22" spans="2:12" ht="16.5" thickTop="1" thickBot="1" x14ac:dyDescent="0.3">
      <c r="B22" s="27"/>
    </row>
    <row r="23" spans="2:12" ht="15.75" thickTop="1" x14ac:dyDescent="0.25"/>
  </sheetData>
  <mergeCells count="10">
    <mergeCell ref="B16:C16"/>
    <mergeCell ref="D16:E16"/>
    <mergeCell ref="B17:C17"/>
    <mergeCell ref="D17:E17"/>
    <mergeCell ref="A1:F1"/>
    <mergeCell ref="A2:F2"/>
    <mergeCell ref="A3:F3"/>
    <mergeCell ref="A13:E13"/>
    <mergeCell ref="B15:C15"/>
    <mergeCell ref="D15:E15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rightToLeft="1" workbookViewId="0">
      <selection activeCell="E14" sqref="E14:F14"/>
    </sheetView>
  </sheetViews>
  <sheetFormatPr defaultRowHeight="15" x14ac:dyDescent="0.25"/>
  <cols>
    <col min="1" max="1" width="6.7109375" customWidth="1"/>
    <col min="2" max="2" width="5" customWidth="1"/>
    <col min="3" max="3" width="24.5703125" bestFit="1" customWidth="1"/>
    <col min="4" max="4" width="11.140625" customWidth="1"/>
    <col min="5" max="5" width="9.28515625" bestFit="1" customWidth="1"/>
    <col min="6" max="6" width="13.42578125" bestFit="1" customWidth="1"/>
    <col min="7" max="7" width="15.140625" bestFit="1" customWidth="1"/>
    <col min="8" max="8" width="20.28515625" customWidth="1"/>
    <col min="9" max="9" width="24.5703125" customWidth="1"/>
    <col min="10" max="10" width="6.28515625" customWidth="1"/>
    <col min="11" max="11" width="24.28515625" customWidth="1"/>
  </cols>
  <sheetData>
    <row r="1" spans="2:13" ht="31.5" x14ac:dyDescent="0.55000000000000004">
      <c r="B1" s="139" t="s">
        <v>9</v>
      </c>
      <c r="C1" s="139"/>
      <c r="D1" s="139"/>
      <c r="E1" s="139"/>
      <c r="F1" s="139"/>
      <c r="G1" s="139"/>
    </row>
    <row r="2" spans="2:13" ht="21.75" thickBot="1" x14ac:dyDescent="0.4">
      <c r="B2" s="146" t="s">
        <v>64</v>
      </c>
      <c r="C2" s="146"/>
      <c r="D2" s="146"/>
      <c r="E2" s="146"/>
      <c r="F2" s="146"/>
      <c r="G2" s="146"/>
    </row>
    <row r="3" spans="2:13" ht="29.25" customHeight="1" thickTop="1" thickBot="1" x14ac:dyDescent="0.4">
      <c r="B3" s="165" t="s">
        <v>48</v>
      </c>
      <c r="C3" s="165"/>
      <c r="D3" s="165"/>
      <c r="E3" s="165"/>
      <c r="F3" s="165"/>
      <c r="G3" s="165"/>
      <c r="I3" s="28" t="s">
        <v>15</v>
      </c>
      <c r="J3" s="27"/>
      <c r="K3" s="28" t="s">
        <v>30</v>
      </c>
      <c r="L3" s="30" t="s">
        <v>59</v>
      </c>
      <c r="M3" s="30" t="s">
        <v>60</v>
      </c>
    </row>
    <row r="4" spans="2:13" ht="32.25" customHeight="1" thickTop="1" thickBot="1" x14ac:dyDescent="0.5"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H4" s="1"/>
      <c r="I4" s="29" t="s">
        <v>16</v>
      </c>
      <c r="J4" s="27"/>
      <c r="K4" s="30" t="s">
        <v>31</v>
      </c>
      <c r="L4" s="30" t="s">
        <v>54</v>
      </c>
      <c r="M4" s="30">
        <v>2</v>
      </c>
    </row>
    <row r="5" spans="2:13" ht="24.75" thickTop="1" thickBot="1" x14ac:dyDescent="0.4">
      <c r="B5" s="15">
        <v>1</v>
      </c>
      <c r="C5" s="22" t="s">
        <v>32</v>
      </c>
      <c r="D5" s="62" t="s">
        <v>56</v>
      </c>
      <c r="E5" s="63">
        <v>5</v>
      </c>
      <c r="F5" s="64">
        <v>560</v>
      </c>
      <c r="G5" s="62">
        <f>F5*E5</f>
        <v>2800</v>
      </c>
      <c r="I5" s="28" t="s">
        <v>17</v>
      </c>
      <c r="J5" s="27"/>
      <c r="K5" s="30" t="s">
        <v>32</v>
      </c>
      <c r="L5" s="30" t="s">
        <v>55</v>
      </c>
      <c r="M5" s="30">
        <v>4</v>
      </c>
    </row>
    <row r="6" spans="2:13" ht="24.75" thickTop="1" thickBot="1" x14ac:dyDescent="0.4">
      <c r="B6" s="16">
        <v>2</v>
      </c>
      <c r="C6" s="23" t="s">
        <v>32</v>
      </c>
      <c r="D6" s="5" t="s">
        <v>52</v>
      </c>
      <c r="E6" s="63">
        <v>5</v>
      </c>
      <c r="F6" s="4">
        <v>630</v>
      </c>
      <c r="G6" s="5">
        <f>F6*E6</f>
        <v>3150</v>
      </c>
      <c r="I6" s="28" t="s">
        <v>18</v>
      </c>
      <c r="J6" s="27"/>
      <c r="K6" s="31" t="s">
        <v>33</v>
      </c>
      <c r="L6" s="30" t="s">
        <v>56</v>
      </c>
      <c r="M6" s="30">
        <v>6</v>
      </c>
    </row>
    <row r="7" spans="2:13" ht="24.75" thickTop="1" thickBot="1" x14ac:dyDescent="0.4">
      <c r="B7" s="16">
        <v>3</v>
      </c>
      <c r="C7" s="16" t="s">
        <v>33</v>
      </c>
      <c r="D7" s="4" t="s">
        <v>55</v>
      </c>
      <c r="E7" s="5">
        <v>2</v>
      </c>
      <c r="F7" s="4">
        <v>530</v>
      </c>
      <c r="G7" s="5">
        <f t="shared" ref="G7:G11" si="0">F7*E7</f>
        <v>1060</v>
      </c>
      <c r="I7" s="28" t="s">
        <v>19</v>
      </c>
      <c r="J7" s="27"/>
      <c r="K7" s="28" t="s">
        <v>34</v>
      </c>
      <c r="L7" s="30" t="s">
        <v>57</v>
      </c>
      <c r="M7" s="30">
        <v>8</v>
      </c>
    </row>
    <row r="8" spans="2:13" ht="24.75" thickTop="1" thickBot="1" x14ac:dyDescent="0.4">
      <c r="B8" s="18">
        <v>4</v>
      </c>
      <c r="C8" s="61" t="s">
        <v>33</v>
      </c>
      <c r="D8" s="5" t="s">
        <v>56</v>
      </c>
      <c r="E8" s="5">
        <v>2</v>
      </c>
      <c r="F8" s="4">
        <v>560</v>
      </c>
      <c r="G8" s="5">
        <f t="shared" si="0"/>
        <v>1120</v>
      </c>
      <c r="I8" s="28" t="s">
        <v>20</v>
      </c>
      <c r="J8" s="27"/>
      <c r="K8" s="28" t="s">
        <v>35</v>
      </c>
      <c r="L8" s="26" t="s">
        <v>52</v>
      </c>
      <c r="M8" s="30">
        <v>10</v>
      </c>
    </row>
    <row r="9" spans="2:13" ht="24.75" thickTop="1" thickBot="1" x14ac:dyDescent="0.4">
      <c r="B9" s="16">
        <v>5</v>
      </c>
      <c r="C9" s="11" t="s">
        <v>33</v>
      </c>
      <c r="D9" s="4" t="s">
        <v>57</v>
      </c>
      <c r="E9" s="5">
        <v>2</v>
      </c>
      <c r="F9" s="4">
        <v>590</v>
      </c>
      <c r="G9" s="5">
        <f t="shared" si="0"/>
        <v>1180</v>
      </c>
      <c r="I9" s="28" t="s">
        <v>21</v>
      </c>
      <c r="J9" s="27"/>
      <c r="K9" s="28" t="s">
        <v>36</v>
      </c>
      <c r="L9" s="26" t="s">
        <v>53</v>
      </c>
      <c r="M9" s="30">
        <v>12</v>
      </c>
    </row>
    <row r="10" spans="2:13" ht="24.75" thickTop="1" thickBot="1" x14ac:dyDescent="0.4">
      <c r="B10" s="18">
        <v>6</v>
      </c>
      <c r="C10" s="11" t="s">
        <v>33</v>
      </c>
      <c r="D10" s="4" t="s">
        <v>52</v>
      </c>
      <c r="E10" s="5">
        <v>2</v>
      </c>
      <c r="F10" s="4">
        <v>630</v>
      </c>
      <c r="G10" s="5">
        <f t="shared" si="0"/>
        <v>1260</v>
      </c>
      <c r="I10" s="28" t="s">
        <v>22</v>
      </c>
      <c r="J10" s="27"/>
      <c r="K10" s="28" t="s">
        <v>37</v>
      </c>
      <c r="L10" s="26" t="s">
        <v>61</v>
      </c>
      <c r="M10" s="30">
        <v>34</v>
      </c>
    </row>
    <row r="11" spans="2:13" ht="24.75" thickTop="1" thickBot="1" x14ac:dyDescent="0.4">
      <c r="B11" s="16">
        <v>7</v>
      </c>
      <c r="C11" s="11" t="s">
        <v>33</v>
      </c>
      <c r="D11" s="4" t="s">
        <v>53</v>
      </c>
      <c r="E11" s="5">
        <v>2</v>
      </c>
      <c r="F11" s="4">
        <v>670</v>
      </c>
      <c r="G11" s="5">
        <f t="shared" si="0"/>
        <v>1340</v>
      </c>
      <c r="I11" s="28" t="s">
        <v>23</v>
      </c>
      <c r="J11" s="27"/>
      <c r="K11" s="28" t="s">
        <v>38</v>
      </c>
      <c r="L11" s="26" t="s">
        <v>62</v>
      </c>
      <c r="M11" s="30">
        <v>36</v>
      </c>
    </row>
    <row r="12" spans="2:13" ht="30" thickTop="1" thickBot="1" x14ac:dyDescent="0.5">
      <c r="B12" s="143" t="s">
        <v>1</v>
      </c>
      <c r="C12" s="144"/>
      <c r="D12" s="144"/>
      <c r="E12" s="144"/>
      <c r="F12" s="145"/>
      <c r="G12" s="2">
        <f>SUM(G5:G11)</f>
        <v>11910</v>
      </c>
      <c r="I12" s="28" t="s">
        <v>24</v>
      </c>
      <c r="J12" s="27"/>
      <c r="K12" s="28" t="s">
        <v>39</v>
      </c>
      <c r="L12" s="27"/>
      <c r="M12" s="30">
        <v>38</v>
      </c>
    </row>
    <row r="13" spans="2:13" ht="22.5" thickTop="1" thickBot="1" x14ac:dyDescent="0.4">
      <c r="G13" s="1"/>
      <c r="I13" s="28" t="s">
        <v>25</v>
      </c>
      <c r="J13" s="27"/>
      <c r="K13" s="28" t="s">
        <v>40</v>
      </c>
      <c r="L13" s="27"/>
      <c r="M13" s="30">
        <v>40</v>
      </c>
    </row>
    <row r="14" spans="2:13" ht="24.75" thickTop="1" thickBot="1" x14ac:dyDescent="0.4">
      <c r="C14" s="143" t="s">
        <v>7</v>
      </c>
      <c r="D14" s="144"/>
      <c r="E14" s="164">
        <v>74165</v>
      </c>
      <c r="F14" s="164"/>
      <c r="G14" s="1"/>
      <c r="I14" s="28" t="s">
        <v>28</v>
      </c>
      <c r="J14" s="27"/>
      <c r="K14" s="28" t="s">
        <v>41</v>
      </c>
      <c r="L14" s="27"/>
      <c r="M14" s="30">
        <v>42</v>
      </c>
    </row>
    <row r="15" spans="2:13" ht="24.75" thickTop="1" thickBot="1" x14ac:dyDescent="0.4">
      <c r="C15" s="143" t="s">
        <v>65</v>
      </c>
      <c r="D15" s="144"/>
      <c r="E15" s="164">
        <v>11910</v>
      </c>
      <c r="F15" s="164"/>
      <c r="G15" s="1"/>
      <c r="I15" s="28" t="s">
        <v>26</v>
      </c>
      <c r="J15" s="27"/>
      <c r="K15" s="28" t="s">
        <v>29</v>
      </c>
      <c r="L15" s="27"/>
      <c r="M15" s="30">
        <v>44</v>
      </c>
    </row>
    <row r="16" spans="2:13" ht="24.75" thickTop="1" thickBot="1" x14ac:dyDescent="0.4">
      <c r="C16" s="143" t="s">
        <v>8</v>
      </c>
      <c r="D16" s="144"/>
      <c r="E16" s="164">
        <f>E14+E15</f>
        <v>86075</v>
      </c>
      <c r="F16" s="164"/>
      <c r="I16" s="28" t="s">
        <v>27</v>
      </c>
      <c r="J16" s="27"/>
      <c r="K16" s="27"/>
      <c r="L16" s="27"/>
      <c r="M16" s="27"/>
    </row>
    <row r="17" spans="3:3" ht="15.75" thickTop="1" x14ac:dyDescent="0.25"/>
    <row r="21" spans="3:3" x14ac:dyDescent="0.25">
      <c r="C21" s="1"/>
    </row>
  </sheetData>
  <mergeCells count="10">
    <mergeCell ref="C15:D15"/>
    <mergeCell ref="E15:F15"/>
    <mergeCell ref="C16:D16"/>
    <mergeCell ref="E16:F16"/>
    <mergeCell ref="B1:G1"/>
    <mergeCell ref="B2:G2"/>
    <mergeCell ref="B3:G3"/>
    <mergeCell ref="B12:F12"/>
    <mergeCell ref="C14:D14"/>
    <mergeCell ref="E14:F14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rightToLeft="1" workbookViewId="0">
      <selection activeCell="E12" sqref="E12:F12"/>
    </sheetView>
  </sheetViews>
  <sheetFormatPr defaultRowHeight="15" x14ac:dyDescent="0.25"/>
  <cols>
    <col min="1" max="1" width="6.7109375" customWidth="1"/>
    <col min="2" max="2" width="5" customWidth="1"/>
    <col min="3" max="3" width="24.5703125" bestFit="1" customWidth="1"/>
    <col min="4" max="4" width="11.140625" customWidth="1"/>
    <col min="5" max="5" width="9.28515625" bestFit="1" customWidth="1"/>
    <col min="6" max="6" width="13.42578125" bestFit="1" customWidth="1"/>
    <col min="7" max="7" width="15.140625" bestFit="1" customWidth="1"/>
    <col min="8" max="8" width="20.28515625" customWidth="1"/>
    <col min="9" max="9" width="24.5703125" customWidth="1"/>
    <col min="10" max="10" width="6.28515625" customWidth="1"/>
    <col min="11" max="11" width="24.28515625" customWidth="1"/>
  </cols>
  <sheetData>
    <row r="1" spans="2:13" ht="31.5" x14ac:dyDescent="0.55000000000000004">
      <c r="B1" s="139" t="s">
        <v>9</v>
      </c>
      <c r="C1" s="139"/>
      <c r="D1" s="139"/>
      <c r="E1" s="139"/>
      <c r="F1" s="139"/>
      <c r="G1" s="139"/>
    </row>
    <row r="2" spans="2:13" ht="21.75" thickBot="1" x14ac:dyDescent="0.4">
      <c r="B2" s="146" t="s">
        <v>87</v>
      </c>
      <c r="C2" s="146"/>
      <c r="D2" s="146"/>
      <c r="E2" s="146"/>
      <c r="F2" s="146"/>
      <c r="G2" s="146"/>
    </row>
    <row r="3" spans="2:13" ht="29.25" customHeight="1" thickTop="1" thickBot="1" x14ac:dyDescent="0.4">
      <c r="B3" s="165" t="s">
        <v>48</v>
      </c>
      <c r="C3" s="165"/>
      <c r="D3" s="165"/>
      <c r="E3" s="165"/>
      <c r="F3" s="165"/>
      <c r="G3" s="165"/>
      <c r="I3" s="28" t="s">
        <v>15</v>
      </c>
      <c r="J3" s="27"/>
      <c r="K3" s="28" t="s">
        <v>30</v>
      </c>
      <c r="L3" s="30" t="s">
        <v>59</v>
      </c>
      <c r="M3" s="30" t="s">
        <v>60</v>
      </c>
    </row>
    <row r="4" spans="2:13" ht="32.25" customHeight="1" thickTop="1" thickBot="1" x14ac:dyDescent="0.5"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H4" s="1"/>
      <c r="I4" s="29" t="s">
        <v>16</v>
      </c>
      <c r="J4" s="27"/>
      <c r="K4" s="30" t="s">
        <v>31</v>
      </c>
      <c r="L4" s="30" t="s">
        <v>54</v>
      </c>
      <c r="M4" s="30">
        <v>2</v>
      </c>
    </row>
    <row r="5" spans="2:13" ht="24.75" thickTop="1" thickBot="1" x14ac:dyDescent="0.4">
      <c r="B5" s="15">
        <v>1</v>
      </c>
      <c r="C5" s="22" t="s">
        <v>30</v>
      </c>
      <c r="D5" s="62" t="s">
        <v>54</v>
      </c>
      <c r="E5" s="63">
        <v>5</v>
      </c>
      <c r="F5" s="64">
        <v>380</v>
      </c>
      <c r="G5" s="62">
        <f>F5*E5</f>
        <v>1900</v>
      </c>
      <c r="I5" s="28" t="s">
        <v>17</v>
      </c>
      <c r="J5" s="27"/>
      <c r="K5" s="30" t="s">
        <v>32</v>
      </c>
      <c r="L5" s="30" t="s">
        <v>55</v>
      </c>
      <c r="M5" s="30">
        <v>4</v>
      </c>
    </row>
    <row r="6" spans="2:13" ht="24.75" thickTop="1" thickBot="1" x14ac:dyDescent="0.4">
      <c r="B6" s="16">
        <v>2</v>
      </c>
      <c r="C6" s="23" t="s">
        <v>30</v>
      </c>
      <c r="D6" s="5" t="s">
        <v>55</v>
      </c>
      <c r="E6" s="63">
        <v>5</v>
      </c>
      <c r="F6" s="4">
        <v>400</v>
      </c>
      <c r="G6" s="5">
        <f>F6*E6</f>
        <v>2000</v>
      </c>
      <c r="I6" s="28" t="s">
        <v>18</v>
      </c>
      <c r="J6" s="27"/>
      <c r="K6" s="31" t="s">
        <v>33</v>
      </c>
      <c r="L6" s="30" t="s">
        <v>56</v>
      </c>
      <c r="M6" s="30">
        <v>6</v>
      </c>
    </row>
    <row r="7" spans="2:13" ht="24.75" thickTop="1" thickBot="1" x14ac:dyDescent="0.4">
      <c r="B7" s="16">
        <v>3</v>
      </c>
      <c r="C7" s="16" t="s">
        <v>15</v>
      </c>
      <c r="D7" s="4" t="s">
        <v>59</v>
      </c>
      <c r="E7" s="63">
        <v>4</v>
      </c>
      <c r="F7" s="4">
        <v>520</v>
      </c>
      <c r="G7" s="5">
        <f t="shared" ref="G7:G9" si="0">F7*E7</f>
        <v>2080</v>
      </c>
      <c r="I7" s="28" t="s">
        <v>19</v>
      </c>
      <c r="J7" s="27"/>
      <c r="K7" s="28" t="s">
        <v>34</v>
      </c>
      <c r="L7" s="30" t="s">
        <v>57</v>
      </c>
      <c r="M7" s="30">
        <v>8</v>
      </c>
    </row>
    <row r="8" spans="2:13" ht="24.75" thickTop="1" thickBot="1" x14ac:dyDescent="0.4">
      <c r="B8" s="18">
        <v>4</v>
      </c>
      <c r="C8" s="61" t="s">
        <v>16</v>
      </c>
      <c r="D8" s="5" t="s">
        <v>55</v>
      </c>
      <c r="E8" s="63">
        <v>5</v>
      </c>
      <c r="F8" s="4">
        <v>610</v>
      </c>
      <c r="G8" s="5">
        <f t="shared" si="0"/>
        <v>3050</v>
      </c>
      <c r="I8" s="28" t="s">
        <v>20</v>
      </c>
      <c r="J8" s="27"/>
      <c r="K8" s="28" t="s">
        <v>35</v>
      </c>
      <c r="L8" s="26" t="s">
        <v>52</v>
      </c>
      <c r="M8" s="30">
        <v>10</v>
      </c>
    </row>
    <row r="9" spans="2:13" ht="24.75" thickTop="1" thickBot="1" x14ac:dyDescent="0.4">
      <c r="B9" s="16">
        <v>5</v>
      </c>
      <c r="C9" s="11" t="s">
        <v>23</v>
      </c>
      <c r="D9" s="4">
        <v>10</v>
      </c>
      <c r="E9" s="63">
        <v>4</v>
      </c>
      <c r="F9" s="4">
        <v>334</v>
      </c>
      <c r="G9" s="5">
        <f t="shared" si="0"/>
        <v>1336</v>
      </c>
      <c r="I9" s="28" t="s">
        <v>21</v>
      </c>
      <c r="J9" s="27"/>
      <c r="K9" s="28" t="s">
        <v>36</v>
      </c>
      <c r="L9" s="26" t="s">
        <v>53</v>
      </c>
      <c r="M9" s="30">
        <v>12</v>
      </c>
    </row>
    <row r="10" spans="2:13" ht="30" thickTop="1" thickBot="1" x14ac:dyDescent="0.5">
      <c r="B10" s="143" t="s">
        <v>1</v>
      </c>
      <c r="C10" s="144"/>
      <c r="D10" s="144"/>
      <c r="E10" s="144"/>
      <c r="F10" s="145"/>
      <c r="G10" s="2">
        <f>SUM(G5:G9)</f>
        <v>10366</v>
      </c>
      <c r="I10" s="28" t="s">
        <v>22</v>
      </c>
      <c r="J10" s="27"/>
      <c r="K10" s="28" t="s">
        <v>37</v>
      </c>
      <c r="L10" s="26" t="s">
        <v>61</v>
      </c>
      <c r="M10" s="30">
        <v>34</v>
      </c>
    </row>
    <row r="11" spans="2:13" ht="22.5" thickTop="1" thickBot="1" x14ac:dyDescent="0.4">
      <c r="G11" s="1"/>
      <c r="I11" s="28" t="s">
        <v>23</v>
      </c>
      <c r="J11" s="27"/>
      <c r="K11" s="28" t="s">
        <v>38</v>
      </c>
      <c r="L11" s="26" t="s">
        <v>62</v>
      </c>
      <c r="M11" s="30">
        <v>36</v>
      </c>
    </row>
    <row r="12" spans="2:13" ht="24.75" thickTop="1" thickBot="1" x14ac:dyDescent="0.4">
      <c r="C12" s="143" t="s">
        <v>7</v>
      </c>
      <c r="D12" s="144"/>
      <c r="E12" s="164">
        <v>103835</v>
      </c>
      <c r="F12" s="164"/>
      <c r="G12" s="1"/>
      <c r="I12" s="28" t="s">
        <v>24</v>
      </c>
      <c r="J12" s="27"/>
      <c r="K12" s="28" t="s">
        <v>39</v>
      </c>
      <c r="L12" s="27"/>
      <c r="M12" s="30">
        <v>38</v>
      </c>
    </row>
    <row r="13" spans="2:13" ht="24.75" thickTop="1" thickBot="1" x14ac:dyDescent="0.4">
      <c r="C13" s="143" t="s">
        <v>88</v>
      </c>
      <c r="D13" s="144"/>
      <c r="E13" s="164">
        <v>10366</v>
      </c>
      <c r="F13" s="164"/>
      <c r="G13" s="1"/>
      <c r="I13" s="28" t="s">
        <v>25</v>
      </c>
      <c r="J13" s="27"/>
      <c r="K13" s="28" t="s">
        <v>40</v>
      </c>
      <c r="L13" s="27"/>
      <c r="M13" s="30">
        <v>40</v>
      </c>
    </row>
    <row r="14" spans="2:13" ht="24.75" thickTop="1" thickBot="1" x14ac:dyDescent="0.4">
      <c r="C14" s="143" t="s">
        <v>8</v>
      </c>
      <c r="D14" s="144"/>
      <c r="E14" s="164">
        <f>E12+E13</f>
        <v>114201</v>
      </c>
      <c r="F14" s="164"/>
      <c r="I14" s="28" t="s">
        <v>28</v>
      </c>
      <c r="J14" s="27"/>
      <c r="K14" s="28" t="s">
        <v>41</v>
      </c>
      <c r="L14" s="27"/>
      <c r="M14" s="30">
        <v>42</v>
      </c>
    </row>
    <row r="15" spans="2:13" ht="22.5" thickTop="1" thickBot="1" x14ac:dyDescent="0.4">
      <c r="I15" s="28" t="s">
        <v>26</v>
      </c>
      <c r="J15" s="27"/>
      <c r="K15" s="28" t="s">
        <v>29</v>
      </c>
      <c r="L15" s="27"/>
      <c r="M15" s="30">
        <v>44</v>
      </c>
    </row>
    <row r="16" spans="2:13" ht="22.5" thickTop="1" thickBot="1" x14ac:dyDescent="0.4">
      <c r="I16" s="28" t="s">
        <v>27</v>
      </c>
      <c r="J16" s="27"/>
      <c r="K16" s="27"/>
      <c r="L16" s="27"/>
      <c r="M16" s="27"/>
    </row>
    <row r="17" spans="3:3" ht="15.75" thickTop="1" x14ac:dyDescent="0.25"/>
    <row r="19" spans="3:3" x14ac:dyDescent="0.25">
      <c r="C19" s="1"/>
    </row>
  </sheetData>
  <mergeCells count="10">
    <mergeCell ref="C13:D13"/>
    <mergeCell ref="E13:F13"/>
    <mergeCell ref="C14:D14"/>
    <mergeCell ref="E14:F14"/>
    <mergeCell ref="B1:G1"/>
    <mergeCell ref="B2:G2"/>
    <mergeCell ref="B3:G3"/>
    <mergeCell ref="B10:F10"/>
    <mergeCell ref="C12:D12"/>
    <mergeCell ref="E12:F12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Views>
    <sheetView rightToLeft="1" workbookViewId="0">
      <selection activeCell="E11" sqref="E11:F11"/>
    </sheetView>
  </sheetViews>
  <sheetFormatPr defaultRowHeight="15" x14ac:dyDescent="0.25"/>
  <cols>
    <col min="1" max="1" width="6.7109375" customWidth="1"/>
    <col min="2" max="2" width="5" customWidth="1"/>
    <col min="3" max="3" width="24.5703125" bestFit="1" customWidth="1"/>
    <col min="4" max="4" width="11.140625" customWidth="1"/>
    <col min="5" max="5" width="9.28515625" bestFit="1" customWidth="1"/>
    <col min="6" max="6" width="13.42578125" bestFit="1" customWidth="1"/>
    <col min="7" max="7" width="15.140625" bestFit="1" customWidth="1"/>
    <col min="8" max="8" width="20.28515625" customWidth="1"/>
    <col min="9" max="9" width="24.5703125" customWidth="1"/>
    <col min="10" max="10" width="6.28515625" customWidth="1"/>
    <col min="11" max="11" width="24.28515625" customWidth="1"/>
  </cols>
  <sheetData>
    <row r="1" spans="2:13" ht="31.5" x14ac:dyDescent="0.55000000000000004">
      <c r="B1" s="139" t="s">
        <v>9</v>
      </c>
      <c r="C1" s="139"/>
      <c r="D1" s="139"/>
      <c r="E1" s="139"/>
      <c r="F1" s="139"/>
      <c r="G1" s="139"/>
    </row>
    <row r="2" spans="2:13" ht="21.75" thickBot="1" x14ac:dyDescent="0.4">
      <c r="B2" s="146" t="s">
        <v>70</v>
      </c>
      <c r="C2" s="146"/>
      <c r="D2" s="146"/>
      <c r="E2" s="146"/>
      <c r="F2" s="146"/>
      <c r="G2" s="146"/>
    </row>
    <row r="3" spans="2:13" ht="29.25" customHeight="1" thickTop="1" thickBot="1" x14ac:dyDescent="0.4">
      <c r="B3" s="165" t="s">
        <v>68</v>
      </c>
      <c r="C3" s="165"/>
      <c r="D3" s="165"/>
      <c r="E3" s="165"/>
      <c r="F3" s="165"/>
      <c r="G3" s="165"/>
      <c r="I3" s="28" t="s">
        <v>15</v>
      </c>
      <c r="J3" s="27"/>
      <c r="K3" s="28" t="s">
        <v>30</v>
      </c>
      <c r="L3" s="30" t="s">
        <v>59</v>
      </c>
      <c r="M3" s="30" t="s">
        <v>60</v>
      </c>
    </row>
    <row r="4" spans="2:13" ht="32.25" customHeight="1" thickTop="1" thickBot="1" x14ac:dyDescent="0.5"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H4" s="1"/>
      <c r="I4" s="29" t="s">
        <v>16</v>
      </c>
      <c r="J4" s="27"/>
      <c r="K4" s="30" t="s">
        <v>31</v>
      </c>
      <c r="L4" s="30" t="s">
        <v>54</v>
      </c>
      <c r="M4" s="30">
        <v>2</v>
      </c>
    </row>
    <row r="5" spans="2:13" ht="24.75" thickTop="1" thickBot="1" x14ac:dyDescent="0.4">
      <c r="B5" s="15">
        <v>1</v>
      </c>
      <c r="C5" s="22" t="s">
        <v>15</v>
      </c>
      <c r="D5" s="62" t="s">
        <v>54</v>
      </c>
      <c r="E5" s="63">
        <v>3</v>
      </c>
      <c r="F5" s="64">
        <v>550</v>
      </c>
      <c r="G5" s="62">
        <f>F5*E5</f>
        <v>1650</v>
      </c>
      <c r="I5" s="28" t="s">
        <v>17</v>
      </c>
      <c r="J5" s="27"/>
      <c r="K5" s="30" t="s">
        <v>32</v>
      </c>
      <c r="L5" s="30" t="s">
        <v>55</v>
      </c>
      <c r="M5" s="30">
        <v>4</v>
      </c>
    </row>
    <row r="6" spans="2:13" ht="24.75" thickTop="1" thickBot="1" x14ac:dyDescent="0.4">
      <c r="B6" s="16">
        <v>2</v>
      </c>
      <c r="C6" s="23" t="s">
        <v>17</v>
      </c>
      <c r="D6" s="5" t="s">
        <v>54</v>
      </c>
      <c r="E6" s="63">
        <v>3</v>
      </c>
      <c r="F6" s="4">
        <v>620</v>
      </c>
      <c r="G6" s="5">
        <f>F6*E6</f>
        <v>1860</v>
      </c>
      <c r="I6" s="28" t="s">
        <v>18</v>
      </c>
      <c r="J6" s="27"/>
      <c r="K6" s="31" t="s">
        <v>33</v>
      </c>
      <c r="L6" s="30" t="s">
        <v>56</v>
      </c>
      <c r="M6" s="30">
        <v>6</v>
      </c>
    </row>
    <row r="7" spans="2:13" ht="24.75" thickTop="1" thickBot="1" x14ac:dyDescent="0.4">
      <c r="B7" s="16">
        <v>3</v>
      </c>
      <c r="C7" s="16" t="s">
        <v>17</v>
      </c>
      <c r="D7" s="4" t="s">
        <v>56</v>
      </c>
      <c r="E7" s="63">
        <v>1.5</v>
      </c>
      <c r="F7" s="4">
        <v>680</v>
      </c>
      <c r="G7" s="5">
        <f t="shared" ref="G7:G8" si="0">F7*E7</f>
        <v>1020</v>
      </c>
      <c r="I7" s="28" t="s">
        <v>19</v>
      </c>
      <c r="J7" s="27"/>
      <c r="K7" s="28" t="s">
        <v>34</v>
      </c>
      <c r="L7" s="30" t="s">
        <v>57</v>
      </c>
      <c r="M7" s="30">
        <v>8</v>
      </c>
    </row>
    <row r="8" spans="2:13" ht="24.75" thickTop="1" thickBot="1" x14ac:dyDescent="0.4">
      <c r="B8" s="18">
        <v>4</v>
      </c>
      <c r="C8" s="61" t="s">
        <v>19</v>
      </c>
      <c r="D8" s="5" t="s">
        <v>62</v>
      </c>
      <c r="E8" s="63">
        <v>1.5</v>
      </c>
      <c r="F8" s="4">
        <v>1050</v>
      </c>
      <c r="G8" s="5">
        <f t="shared" si="0"/>
        <v>1575</v>
      </c>
      <c r="I8" s="28" t="s">
        <v>20</v>
      </c>
      <c r="J8" s="27"/>
      <c r="K8" s="28" t="s">
        <v>35</v>
      </c>
      <c r="L8" s="26" t="s">
        <v>52</v>
      </c>
      <c r="M8" s="30">
        <v>10</v>
      </c>
    </row>
    <row r="9" spans="2:13" ht="30" thickTop="1" thickBot="1" x14ac:dyDescent="0.5">
      <c r="B9" s="143" t="s">
        <v>1</v>
      </c>
      <c r="C9" s="144"/>
      <c r="D9" s="144"/>
      <c r="E9" s="144"/>
      <c r="F9" s="145"/>
      <c r="G9" s="2">
        <f>SUM(G5:G8)</f>
        <v>6105</v>
      </c>
      <c r="I9" s="28" t="s">
        <v>21</v>
      </c>
      <c r="J9" s="27"/>
      <c r="K9" s="28" t="s">
        <v>36</v>
      </c>
      <c r="L9" s="26" t="s">
        <v>53</v>
      </c>
      <c r="M9" s="30">
        <v>12</v>
      </c>
    </row>
    <row r="10" spans="2:13" ht="22.5" thickTop="1" thickBot="1" x14ac:dyDescent="0.4">
      <c r="G10" s="1"/>
      <c r="I10" s="28" t="s">
        <v>22</v>
      </c>
      <c r="J10" s="27"/>
      <c r="K10" s="28" t="s">
        <v>37</v>
      </c>
      <c r="L10" s="26" t="s">
        <v>61</v>
      </c>
      <c r="M10" s="30">
        <v>34</v>
      </c>
    </row>
    <row r="11" spans="2:13" ht="24.75" thickTop="1" thickBot="1" x14ac:dyDescent="0.4">
      <c r="C11" s="143" t="s">
        <v>7</v>
      </c>
      <c r="D11" s="144"/>
      <c r="E11" s="164">
        <v>0</v>
      </c>
      <c r="F11" s="164"/>
      <c r="G11" s="1"/>
      <c r="I11" s="28" t="s">
        <v>23</v>
      </c>
      <c r="J11" s="27"/>
      <c r="K11" s="28" t="s">
        <v>38</v>
      </c>
      <c r="L11" s="26" t="s">
        <v>62</v>
      </c>
      <c r="M11" s="30">
        <v>36</v>
      </c>
    </row>
    <row r="12" spans="2:13" ht="24.75" thickTop="1" thickBot="1" x14ac:dyDescent="0.4">
      <c r="C12" s="143" t="s">
        <v>69</v>
      </c>
      <c r="D12" s="144"/>
      <c r="E12" s="164">
        <v>6105</v>
      </c>
      <c r="F12" s="164"/>
      <c r="G12" s="1"/>
      <c r="I12" s="28" t="s">
        <v>24</v>
      </c>
      <c r="J12" s="27"/>
      <c r="K12" s="28" t="s">
        <v>39</v>
      </c>
      <c r="L12" s="27"/>
      <c r="M12" s="30">
        <v>38</v>
      </c>
    </row>
    <row r="13" spans="2:13" ht="24.75" thickTop="1" thickBot="1" x14ac:dyDescent="0.4">
      <c r="C13" s="143" t="s">
        <v>8</v>
      </c>
      <c r="D13" s="144"/>
      <c r="E13" s="164">
        <f>E11+E12</f>
        <v>6105</v>
      </c>
      <c r="F13" s="164"/>
      <c r="I13" s="28" t="s">
        <v>25</v>
      </c>
      <c r="J13" s="27"/>
      <c r="K13" s="28" t="s">
        <v>40</v>
      </c>
      <c r="L13" s="27"/>
      <c r="M13" s="30">
        <v>40</v>
      </c>
    </row>
    <row r="14" spans="2:13" ht="22.5" thickTop="1" thickBot="1" x14ac:dyDescent="0.4">
      <c r="I14" s="28" t="s">
        <v>28</v>
      </c>
      <c r="J14" s="27"/>
      <c r="K14" s="28" t="s">
        <v>41</v>
      </c>
      <c r="L14" s="27"/>
      <c r="M14" s="30">
        <v>42</v>
      </c>
    </row>
    <row r="15" spans="2:13" ht="22.5" thickTop="1" thickBot="1" x14ac:dyDescent="0.4">
      <c r="I15" s="28" t="s">
        <v>26</v>
      </c>
      <c r="J15" s="27"/>
      <c r="K15" s="28" t="s">
        <v>29</v>
      </c>
      <c r="L15" s="27"/>
      <c r="M15" s="30">
        <v>44</v>
      </c>
    </row>
    <row r="16" spans="2:13" ht="22.5" thickTop="1" thickBot="1" x14ac:dyDescent="0.4">
      <c r="I16" s="28" t="s">
        <v>27</v>
      </c>
      <c r="J16" s="27"/>
      <c r="K16" s="27"/>
      <c r="L16" s="27"/>
      <c r="M16" s="27"/>
    </row>
    <row r="17" spans="3:3" ht="15.75" thickTop="1" x14ac:dyDescent="0.25"/>
    <row r="18" spans="3:3" x14ac:dyDescent="0.25">
      <c r="C18" s="1"/>
    </row>
  </sheetData>
  <mergeCells count="10">
    <mergeCell ref="C12:D12"/>
    <mergeCell ref="E12:F12"/>
    <mergeCell ref="C13:D13"/>
    <mergeCell ref="E13:F13"/>
    <mergeCell ref="B1:G1"/>
    <mergeCell ref="B2:G2"/>
    <mergeCell ref="B3:G3"/>
    <mergeCell ref="B9:F9"/>
    <mergeCell ref="C11:D11"/>
    <mergeCell ref="E11:F11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rightToLeft="1" workbookViewId="0">
      <selection activeCell="G7" sqref="G7"/>
    </sheetView>
  </sheetViews>
  <sheetFormatPr defaultRowHeight="15" x14ac:dyDescent="0.25"/>
  <cols>
    <col min="1" max="1" width="6.7109375" customWidth="1"/>
    <col min="2" max="2" width="5" customWidth="1"/>
    <col min="3" max="3" width="24.5703125" bestFit="1" customWidth="1"/>
    <col min="4" max="4" width="11.140625" customWidth="1"/>
    <col min="5" max="5" width="9.28515625" bestFit="1" customWidth="1"/>
    <col min="6" max="6" width="13.42578125" bestFit="1" customWidth="1"/>
    <col min="7" max="7" width="15.140625" bestFit="1" customWidth="1"/>
    <col min="8" max="8" width="20.28515625" customWidth="1"/>
    <col min="9" max="9" width="24.5703125" customWidth="1"/>
    <col min="10" max="10" width="6.28515625" customWidth="1"/>
    <col min="11" max="11" width="24.28515625" customWidth="1"/>
  </cols>
  <sheetData>
    <row r="1" spans="2:13" ht="31.5" x14ac:dyDescent="0.55000000000000004">
      <c r="B1" s="139" t="s">
        <v>9</v>
      </c>
      <c r="C1" s="139"/>
      <c r="D1" s="139"/>
      <c r="E1" s="139"/>
      <c r="F1" s="139"/>
      <c r="G1" s="139"/>
    </row>
    <row r="2" spans="2:13" ht="21.75" thickBot="1" x14ac:dyDescent="0.4">
      <c r="B2" s="146" t="s">
        <v>103</v>
      </c>
      <c r="C2" s="146"/>
      <c r="D2" s="146"/>
      <c r="E2" s="146"/>
      <c r="F2" s="146"/>
      <c r="G2" s="146"/>
    </row>
    <row r="3" spans="2:13" ht="29.25" customHeight="1" thickTop="1" thickBot="1" x14ac:dyDescent="0.4">
      <c r="B3" s="165" t="s">
        <v>48</v>
      </c>
      <c r="C3" s="165"/>
      <c r="D3" s="165"/>
      <c r="E3" s="165"/>
      <c r="F3" s="165"/>
      <c r="G3" s="165"/>
      <c r="I3" s="28" t="s">
        <v>15</v>
      </c>
      <c r="J3" s="27"/>
      <c r="K3" s="28" t="s">
        <v>30</v>
      </c>
      <c r="L3" s="30" t="s">
        <v>59</v>
      </c>
      <c r="M3" s="30" t="s">
        <v>60</v>
      </c>
    </row>
    <row r="4" spans="2:13" ht="32.25" customHeight="1" thickTop="1" thickBot="1" x14ac:dyDescent="0.5">
      <c r="B4" s="19" t="s">
        <v>5</v>
      </c>
      <c r="C4" s="3" t="s">
        <v>0</v>
      </c>
      <c r="D4" s="3" t="s">
        <v>14</v>
      </c>
      <c r="E4" s="2" t="s">
        <v>3</v>
      </c>
      <c r="F4" s="3" t="s">
        <v>2</v>
      </c>
      <c r="G4" s="2" t="s">
        <v>4</v>
      </c>
      <c r="H4" s="1"/>
      <c r="I4" s="29" t="s">
        <v>16</v>
      </c>
      <c r="J4" s="27"/>
      <c r="K4" s="30" t="s">
        <v>31</v>
      </c>
      <c r="L4" s="30" t="s">
        <v>54</v>
      </c>
      <c r="M4" s="30">
        <v>2</v>
      </c>
    </row>
    <row r="5" spans="2:13" ht="24.75" thickTop="1" thickBot="1" x14ac:dyDescent="0.4">
      <c r="B5" s="15">
        <v>1</v>
      </c>
      <c r="C5" s="22" t="s">
        <v>17</v>
      </c>
      <c r="D5" s="62" t="s">
        <v>59</v>
      </c>
      <c r="E5" s="63">
        <v>2</v>
      </c>
      <c r="F5" s="64">
        <v>590</v>
      </c>
      <c r="G5" s="62">
        <f>F5*E5</f>
        <v>1180</v>
      </c>
      <c r="I5" s="28" t="s">
        <v>17</v>
      </c>
      <c r="J5" s="27"/>
      <c r="K5" s="30" t="s">
        <v>32</v>
      </c>
      <c r="L5" s="30" t="s">
        <v>55</v>
      </c>
      <c r="M5" s="30">
        <v>4</v>
      </c>
    </row>
    <row r="6" spans="2:13" ht="24.75" thickTop="1" thickBot="1" x14ac:dyDescent="0.4">
      <c r="B6" s="16">
        <v>2</v>
      </c>
      <c r="C6" s="23" t="s">
        <v>17</v>
      </c>
      <c r="D6" s="5" t="s">
        <v>55</v>
      </c>
      <c r="E6" s="63">
        <v>5</v>
      </c>
      <c r="F6" s="4">
        <v>650</v>
      </c>
      <c r="G6" s="5">
        <f>F6*E6</f>
        <v>3250</v>
      </c>
      <c r="I6" s="28" t="s">
        <v>18</v>
      </c>
      <c r="J6" s="27"/>
      <c r="K6" s="31" t="s">
        <v>33</v>
      </c>
      <c r="L6" s="30" t="s">
        <v>56</v>
      </c>
      <c r="M6" s="30">
        <v>6</v>
      </c>
    </row>
    <row r="7" spans="2:13" ht="30" thickTop="1" thickBot="1" x14ac:dyDescent="0.5">
      <c r="B7" s="143" t="s">
        <v>1</v>
      </c>
      <c r="C7" s="144"/>
      <c r="D7" s="144"/>
      <c r="E7" s="144"/>
      <c r="F7" s="145"/>
      <c r="G7" s="2">
        <f>SUM(G5:G6)</f>
        <v>4430</v>
      </c>
      <c r="I7" s="28" t="s">
        <v>19</v>
      </c>
      <c r="J7" s="27"/>
      <c r="K7" s="28" t="s">
        <v>34</v>
      </c>
      <c r="L7" s="30" t="s">
        <v>57</v>
      </c>
      <c r="M7" s="30">
        <v>8</v>
      </c>
    </row>
    <row r="8" spans="2:13" ht="22.5" thickTop="1" thickBot="1" x14ac:dyDescent="0.4">
      <c r="G8" s="1"/>
      <c r="I8" s="28" t="s">
        <v>20</v>
      </c>
      <c r="J8" s="27"/>
      <c r="K8" s="28" t="s">
        <v>35</v>
      </c>
      <c r="L8" s="26" t="s">
        <v>52</v>
      </c>
      <c r="M8" s="30">
        <v>10</v>
      </c>
    </row>
    <row r="9" spans="2:13" ht="24.75" thickTop="1" thickBot="1" x14ac:dyDescent="0.4">
      <c r="C9" s="143" t="s">
        <v>7</v>
      </c>
      <c r="D9" s="144"/>
      <c r="E9" s="164">
        <v>89961</v>
      </c>
      <c r="F9" s="164"/>
      <c r="G9" s="1"/>
      <c r="I9" s="28" t="s">
        <v>21</v>
      </c>
      <c r="J9" s="27"/>
      <c r="K9" s="28" t="s">
        <v>36</v>
      </c>
      <c r="L9" s="26" t="s">
        <v>53</v>
      </c>
      <c r="M9" s="30">
        <v>12</v>
      </c>
    </row>
    <row r="10" spans="2:13" ht="24.75" thickTop="1" thickBot="1" x14ac:dyDescent="0.4">
      <c r="C10" s="143" t="s">
        <v>104</v>
      </c>
      <c r="D10" s="144"/>
      <c r="E10" s="164">
        <v>4430</v>
      </c>
      <c r="F10" s="164"/>
      <c r="G10" s="1"/>
      <c r="I10" s="28" t="s">
        <v>22</v>
      </c>
      <c r="J10" s="27"/>
      <c r="K10" s="28" t="s">
        <v>37</v>
      </c>
      <c r="L10" s="26" t="s">
        <v>61</v>
      </c>
      <c r="M10" s="30">
        <v>34</v>
      </c>
    </row>
    <row r="11" spans="2:13" ht="24.75" thickTop="1" thickBot="1" x14ac:dyDescent="0.4">
      <c r="C11" s="143" t="s">
        <v>8</v>
      </c>
      <c r="D11" s="144"/>
      <c r="E11" s="164">
        <f>E9+E10</f>
        <v>94391</v>
      </c>
      <c r="F11" s="164"/>
      <c r="I11" s="28" t="s">
        <v>23</v>
      </c>
      <c r="J11" s="27"/>
      <c r="K11" s="28" t="s">
        <v>38</v>
      </c>
      <c r="L11" s="26" t="s">
        <v>62</v>
      </c>
      <c r="M11" s="30">
        <v>36</v>
      </c>
    </row>
    <row r="12" spans="2:13" ht="22.5" thickTop="1" thickBot="1" x14ac:dyDescent="0.4">
      <c r="I12" s="28" t="s">
        <v>24</v>
      </c>
      <c r="J12" s="27"/>
      <c r="K12" s="28" t="s">
        <v>39</v>
      </c>
      <c r="L12" s="27"/>
      <c r="M12" s="30">
        <v>38</v>
      </c>
    </row>
    <row r="13" spans="2:13" ht="22.5" thickTop="1" thickBot="1" x14ac:dyDescent="0.4">
      <c r="I13" s="28" t="s">
        <v>25</v>
      </c>
      <c r="J13" s="27"/>
      <c r="K13" s="28" t="s">
        <v>40</v>
      </c>
      <c r="L13" s="27"/>
      <c r="M13" s="30">
        <v>40</v>
      </c>
    </row>
    <row r="14" spans="2:13" ht="22.5" thickTop="1" thickBot="1" x14ac:dyDescent="0.4">
      <c r="I14" s="28" t="s">
        <v>28</v>
      </c>
      <c r="J14" s="27"/>
      <c r="K14" s="28" t="s">
        <v>41</v>
      </c>
      <c r="L14" s="27"/>
      <c r="M14" s="30">
        <v>42</v>
      </c>
    </row>
    <row r="15" spans="2:13" ht="22.5" thickTop="1" thickBot="1" x14ac:dyDescent="0.4">
      <c r="I15" s="28" t="s">
        <v>26</v>
      </c>
      <c r="J15" s="27"/>
      <c r="K15" s="28" t="s">
        <v>29</v>
      </c>
      <c r="L15" s="27"/>
      <c r="M15" s="30">
        <v>44</v>
      </c>
    </row>
    <row r="16" spans="2:13" ht="22.5" thickTop="1" thickBot="1" x14ac:dyDescent="0.4">
      <c r="C16" s="1"/>
      <c r="I16" s="28" t="s">
        <v>27</v>
      </c>
      <c r="J16" s="27"/>
      <c r="K16" s="27"/>
      <c r="L16" s="27"/>
      <c r="M16" s="27"/>
    </row>
    <row r="17" ht="15.75" thickTop="1" x14ac:dyDescent="0.25"/>
  </sheetData>
  <mergeCells count="10">
    <mergeCell ref="C10:D10"/>
    <mergeCell ref="E10:F10"/>
    <mergeCell ref="C11:D11"/>
    <mergeCell ref="E11:F11"/>
    <mergeCell ref="B1:G1"/>
    <mergeCell ref="B2:G2"/>
    <mergeCell ref="B3:G3"/>
    <mergeCell ref="B7:F7"/>
    <mergeCell ref="C9:D9"/>
    <mergeCell ref="E9:F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20</vt:i4>
      </vt:variant>
      <vt:variant>
        <vt:lpstr>نطاقات تمت تسميتها</vt:lpstr>
      </vt:variant>
      <vt:variant>
        <vt:i4>1</vt:i4>
      </vt:variant>
    </vt:vector>
  </HeadingPairs>
  <TitlesOfParts>
    <vt:vector size="21" baseType="lpstr">
      <vt:lpstr>شريف ثابت</vt:lpstr>
      <vt:lpstr>31</vt:lpstr>
      <vt:lpstr>30</vt:lpstr>
      <vt:lpstr>29</vt:lpstr>
      <vt:lpstr>28</vt:lpstr>
      <vt:lpstr>27</vt:lpstr>
      <vt:lpstr>25</vt:lpstr>
      <vt:lpstr>19</vt:lpstr>
      <vt:lpstr>18</vt:lpstr>
      <vt:lpstr>16</vt:lpstr>
      <vt:lpstr>15</vt:lpstr>
      <vt:lpstr>14</vt:lpstr>
      <vt:lpstr>12</vt:lpstr>
      <vt:lpstr>11</vt:lpstr>
      <vt:lpstr>10</vt:lpstr>
      <vt:lpstr>8</vt:lpstr>
      <vt:lpstr>7</vt:lpstr>
      <vt:lpstr>5</vt:lpstr>
      <vt:lpstr>4</vt:lpstr>
      <vt:lpstr>2</vt:lpstr>
      <vt:lpstr>'شريف ثابت'!Print_Titles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2026-06-26T01:48:13Z</dcterms:modified>
</cp:coreProperties>
</file>